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C5C26BD-05E4-4635-8BB9-41222F179017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2" r:id="rId1"/>
    <sheet name="tips.csv" sheetId="1" r:id="rId2"/>
  </sheets>
  <calcPr calcId="191029"/>
  <pivotCaches>
    <pivotCache cacheId="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" i="1" l="1"/>
  <c r="I14" i="1"/>
  <c r="I13" i="1"/>
  <c r="I12" i="1"/>
  <c r="I11" i="1"/>
  <c r="I10" i="1"/>
  <c r="I4" i="1"/>
  <c r="I6" i="1"/>
  <c r="I5" i="1"/>
  <c r="I3" i="1"/>
  <c r="I2" i="1"/>
</calcChain>
</file>

<file path=xl/sharedStrings.xml><?xml version="1.0" encoding="utf-8"?>
<sst xmlns="http://schemas.openxmlformats.org/spreadsheetml/2006/main" count="1043" uniqueCount="39">
  <si>
    <t>total_bill</t>
  </si>
  <si>
    <t>tip</t>
  </si>
  <si>
    <t>sex</t>
  </si>
  <si>
    <t>smoker</t>
  </si>
  <si>
    <t>day</t>
  </si>
  <si>
    <t>time</t>
  </si>
  <si>
    <t>size</t>
  </si>
  <si>
    <t>Female</t>
  </si>
  <si>
    <t>No</t>
  </si>
  <si>
    <t>Sun</t>
  </si>
  <si>
    <t>Dinner</t>
  </si>
  <si>
    <t>Male</t>
  </si>
  <si>
    <t>Sat</t>
  </si>
  <si>
    <t>Yes</t>
  </si>
  <si>
    <t>Thur</t>
  </si>
  <si>
    <t>Lunch</t>
  </si>
  <si>
    <t>Fri</t>
  </si>
  <si>
    <t>Row Labels</t>
  </si>
  <si>
    <t>Grand Total</t>
  </si>
  <si>
    <t>Sum of size</t>
  </si>
  <si>
    <t>Sum of size2</t>
  </si>
  <si>
    <t>Count of day</t>
  </si>
  <si>
    <t>Count of smoker</t>
  </si>
  <si>
    <t>Count of sex</t>
  </si>
  <si>
    <t>Count of time</t>
  </si>
  <si>
    <t xml:space="preserve">  16:average total bill=</t>
  </si>
  <si>
    <t>17:median total bill</t>
  </si>
  <si>
    <t>19:the average tip</t>
  </si>
  <si>
    <t>20:median tip</t>
  </si>
  <si>
    <t>18:most frequent party size</t>
  </si>
  <si>
    <t>25: minimum total bill</t>
  </si>
  <si>
    <t>25:maximum total bill</t>
  </si>
  <si>
    <t>26:the range of the total bill</t>
  </si>
  <si>
    <t>27:minimum tip</t>
  </si>
  <si>
    <t>27:maximum tip</t>
  </si>
  <si>
    <t>27:Range Tip</t>
  </si>
  <si>
    <t>21:mean of tb &gt;median</t>
  </si>
  <si>
    <t>22:mean of tip &gt; mdian</t>
  </si>
  <si>
    <t>24: it'll be Right skew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</si>
</sst>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20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[tips.xlsx]Sheet1!PivotTable1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459755030621173"/>
          <c:y val="0.12481560242925839"/>
          <c:w val="0.64216535433070865"/>
          <c:h val="0.44469126578155832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size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Sheet1!$A$4:$A$46</c:f>
              <c:multiLvlStrCache>
                <c:ptCount val="20"/>
                <c:lvl>
                  <c:pt idx="0">
                    <c:v>Dinner</c:v>
                  </c:pt>
                  <c:pt idx="1">
                    <c:v>Dinner</c:v>
                  </c:pt>
                  <c:pt idx="2">
                    <c:v>Lunch</c:v>
                  </c:pt>
                  <c:pt idx="3">
                    <c:v>Dinner</c:v>
                  </c:pt>
                  <c:pt idx="4">
                    <c:v>Dinner</c:v>
                  </c:pt>
                  <c:pt idx="5">
                    <c:v>Lunch</c:v>
                  </c:pt>
                  <c:pt idx="6">
                    <c:v>Dinner</c:v>
                  </c:pt>
                  <c:pt idx="7">
                    <c:v>Dinner</c:v>
                  </c:pt>
                  <c:pt idx="8">
                    <c:v>Lunch</c:v>
                  </c:pt>
                  <c:pt idx="9">
                    <c:v>Dinner</c:v>
                  </c:pt>
                  <c:pt idx="10">
                    <c:v>Lunch</c:v>
                  </c:pt>
                  <c:pt idx="11">
                    <c:v>Dinner</c:v>
                  </c:pt>
                  <c:pt idx="12">
                    <c:v>Dinner</c:v>
                  </c:pt>
                  <c:pt idx="13">
                    <c:v>Dinner</c:v>
                  </c:pt>
                  <c:pt idx="14">
                    <c:v>Lunch</c:v>
                  </c:pt>
                  <c:pt idx="15">
                    <c:v>Dinner</c:v>
                  </c:pt>
                  <c:pt idx="16">
                    <c:v>Dinner</c:v>
                  </c:pt>
                  <c:pt idx="17">
                    <c:v>Lunch</c:v>
                  </c:pt>
                  <c:pt idx="18">
                    <c:v>Dinner</c:v>
                  </c:pt>
                  <c:pt idx="19">
                    <c:v>Lunch</c:v>
                  </c:pt>
                </c:lvl>
                <c:lvl>
                  <c:pt idx="0">
                    <c:v>Sun</c:v>
                  </c:pt>
                  <c:pt idx="1">
                    <c:v>Fri</c:v>
                  </c:pt>
                  <c:pt idx="3">
                    <c:v>Sat</c:v>
                  </c:pt>
                  <c:pt idx="4">
                    <c:v>Thur</c:v>
                  </c:pt>
                  <c:pt idx="6">
                    <c:v>Sun</c:v>
                  </c:pt>
                  <c:pt idx="7">
                    <c:v>Fri</c:v>
                  </c:pt>
                  <c:pt idx="9">
                    <c:v>Sat</c:v>
                  </c:pt>
                  <c:pt idx="10">
                    <c:v>Thur</c:v>
                  </c:pt>
                  <c:pt idx="11">
                    <c:v>Sun</c:v>
                  </c:pt>
                  <c:pt idx="12">
                    <c:v>Fri</c:v>
                  </c:pt>
                  <c:pt idx="13">
                    <c:v>Sat</c:v>
                  </c:pt>
                  <c:pt idx="14">
                    <c:v>Thur</c:v>
                  </c:pt>
                  <c:pt idx="15">
                    <c:v>Sun</c:v>
                  </c:pt>
                  <c:pt idx="16">
                    <c:v>Fri</c:v>
                  </c:pt>
                  <c:pt idx="18">
                    <c:v>Sat</c:v>
                  </c:pt>
                  <c:pt idx="19">
                    <c:v>Thur</c:v>
                  </c:pt>
                </c:lvl>
                <c:lvl>
                  <c:pt idx="0">
                    <c:v>No</c:v>
                  </c:pt>
                  <c:pt idx="6">
                    <c:v>Yes</c:v>
                  </c:pt>
                  <c:pt idx="11">
                    <c:v>No</c:v>
                  </c:pt>
                  <c:pt idx="15">
                    <c:v>Yes</c:v>
                  </c:pt>
                </c:lvl>
                <c:lvl>
                  <c:pt idx="0">
                    <c:v>Female</c:v>
                  </c:pt>
                  <c:pt idx="11">
                    <c:v>Male</c:v>
                  </c:pt>
                </c:lvl>
              </c:multiLvlStrCache>
            </c:multiLvlStrRef>
          </c:cat>
          <c:val>
            <c:numRef>
              <c:f>Sheet1!$B$4:$B$46</c:f>
              <c:numCache>
                <c:formatCode>General</c:formatCode>
                <c:ptCount val="20"/>
                <c:pt idx="0">
                  <c:v>43</c:v>
                </c:pt>
                <c:pt idx="1">
                  <c:v>2</c:v>
                </c:pt>
                <c:pt idx="2">
                  <c:v>3</c:v>
                </c:pt>
                <c:pt idx="3">
                  <c:v>30</c:v>
                </c:pt>
                <c:pt idx="4">
                  <c:v>2</c:v>
                </c:pt>
                <c:pt idx="5">
                  <c:v>60</c:v>
                </c:pt>
                <c:pt idx="6">
                  <c:v>10</c:v>
                </c:pt>
                <c:pt idx="7">
                  <c:v>8</c:v>
                </c:pt>
                <c:pt idx="8">
                  <c:v>6</c:v>
                </c:pt>
                <c:pt idx="9">
                  <c:v>33</c:v>
                </c:pt>
                <c:pt idx="10">
                  <c:v>15</c:v>
                </c:pt>
                <c:pt idx="11">
                  <c:v>124</c:v>
                </c:pt>
                <c:pt idx="12">
                  <c:v>4</c:v>
                </c:pt>
                <c:pt idx="13">
                  <c:v>85</c:v>
                </c:pt>
                <c:pt idx="14">
                  <c:v>50</c:v>
                </c:pt>
                <c:pt idx="15">
                  <c:v>39</c:v>
                </c:pt>
                <c:pt idx="16">
                  <c:v>12</c:v>
                </c:pt>
                <c:pt idx="17">
                  <c:v>5</c:v>
                </c:pt>
                <c:pt idx="18">
                  <c:v>71</c:v>
                </c:pt>
                <c:pt idx="19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A7-4898-A3EF-5A7E6C0E44C0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Count of smoker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Sheet1!$A$4:$A$46</c:f>
              <c:multiLvlStrCache>
                <c:ptCount val="20"/>
                <c:lvl>
                  <c:pt idx="0">
                    <c:v>Dinner</c:v>
                  </c:pt>
                  <c:pt idx="1">
                    <c:v>Dinner</c:v>
                  </c:pt>
                  <c:pt idx="2">
                    <c:v>Lunch</c:v>
                  </c:pt>
                  <c:pt idx="3">
                    <c:v>Dinner</c:v>
                  </c:pt>
                  <c:pt idx="4">
                    <c:v>Dinner</c:v>
                  </c:pt>
                  <c:pt idx="5">
                    <c:v>Lunch</c:v>
                  </c:pt>
                  <c:pt idx="6">
                    <c:v>Dinner</c:v>
                  </c:pt>
                  <c:pt idx="7">
                    <c:v>Dinner</c:v>
                  </c:pt>
                  <c:pt idx="8">
                    <c:v>Lunch</c:v>
                  </c:pt>
                  <c:pt idx="9">
                    <c:v>Dinner</c:v>
                  </c:pt>
                  <c:pt idx="10">
                    <c:v>Lunch</c:v>
                  </c:pt>
                  <c:pt idx="11">
                    <c:v>Dinner</c:v>
                  </c:pt>
                  <c:pt idx="12">
                    <c:v>Dinner</c:v>
                  </c:pt>
                  <c:pt idx="13">
                    <c:v>Dinner</c:v>
                  </c:pt>
                  <c:pt idx="14">
                    <c:v>Lunch</c:v>
                  </c:pt>
                  <c:pt idx="15">
                    <c:v>Dinner</c:v>
                  </c:pt>
                  <c:pt idx="16">
                    <c:v>Dinner</c:v>
                  </c:pt>
                  <c:pt idx="17">
                    <c:v>Lunch</c:v>
                  </c:pt>
                  <c:pt idx="18">
                    <c:v>Dinner</c:v>
                  </c:pt>
                  <c:pt idx="19">
                    <c:v>Lunch</c:v>
                  </c:pt>
                </c:lvl>
                <c:lvl>
                  <c:pt idx="0">
                    <c:v>Sun</c:v>
                  </c:pt>
                  <c:pt idx="1">
                    <c:v>Fri</c:v>
                  </c:pt>
                  <c:pt idx="3">
                    <c:v>Sat</c:v>
                  </c:pt>
                  <c:pt idx="4">
                    <c:v>Thur</c:v>
                  </c:pt>
                  <c:pt idx="6">
                    <c:v>Sun</c:v>
                  </c:pt>
                  <c:pt idx="7">
                    <c:v>Fri</c:v>
                  </c:pt>
                  <c:pt idx="9">
                    <c:v>Sat</c:v>
                  </c:pt>
                  <c:pt idx="10">
                    <c:v>Thur</c:v>
                  </c:pt>
                  <c:pt idx="11">
                    <c:v>Sun</c:v>
                  </c:pt>
                  <c:pt idx="12">
                    <c:v>Fri</c:v>
                  </c:pt>
                  <c:pt idx="13">
                    <c:v>Sat</c:v>
                  </c:pt>
                  <c:pt idx="14">
                    <c:v>Thur</c:v>
                  </c:pt>
                  <c:pt idx="15">
                    <c:v>Sun</c:v>
                  </c:pt>
                  <c:pt idx="16">
                    <c:v>Fri</c:v>
                  </c:pt>
                  <c:pt idx="18">
                    <c:v>Sat</c:v>
                  </c:pt>
                  <c:pt idx="19">
                    <c:v>Thur</c:v>
                  </c:pt>
                </c:lvl>
                <c:lvl>
                  <c:pt idx="0">
                    <c:v>No</c:v>
                  </c:pt>
                  <c:pt idx="6">
                    <c:v>Yes</c:v>
                  </c:pt>
                  <c:pt idx="11">
                    <c:v>No</c:v>
                  </c:pt>
                  <c:pt idx="15">
                    <c:v>Yes</c:v>
                  </c:pt>
                </c:lvl>
                <c:lvl>
                  <c:pt idx="0">
                    <c:v>Female</c:v>
                  </c:pt>
                  <c:pt idx="11">
                    <c:v>Male</c:v>
                  </c:pt>
                </c:lvl>
              </c:multiLvlStrCache>
            </c:multiLvlStrRef>
          </c:cat>
          <c:val>
            <c:numRef>
              <c:f>Sheet1!$C$4:$C$46</c:f>
              <c:numCache>
                <c:formatCode>General</c:formatCode>
                <c:ptCount val="20"/>
                <c:pt idx="0">
                  <c:v>14</c:v>
                </c:pt>
                <c:pt idx="1">
                  <c:v>1</c:v>
                </c:pt>
                <c:pt idx="2">
                  <c:v>1</c:v>
                </c:pt>
                <c:pt idx="3">
                  <c:v>13</c:v>
                </c:pt>
                <c:pt idx="4">
                  <c:v>1</c:v>
                </c:pt>
                <c:pt idx="5">
                  <c:v>24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15</c:v>
                </c:pt>
                <c:pt idx="10">
                  <c:v>6</c:v>
                </c:pt>
                <c:pt idx="11">
                  <c:v>43</c:v>
                </c:pt>
                <c:pt idx="12">
                  <c:v>2</c:v>
                </c:pt>
                <c:pt idx="13">
                  <c:v>32</c:v>
                </c:pt>
                <c:pt idx="14">
                  <c:v>20</c:v>
                </c:pt>
                <c:pt idx="15">
                  <c:v>15</c:v>
                </c:pt>
                <c:pt idx="16">
                  <c:v>5</c:v>
                </c:pt>
                <c:pt idx="17">
                  <c:v>3</c:v>
                </c:pt>
                <c:pt idx="18">
                  <c:v>27</c:v>
                </c:pt>
                <c:pt idx="1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A7-4898-A3EF-5A7E6C0E44C0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Count of time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multiLvlStrRef>
              <c:f>Sheet1!$A$4:$A$46</c:f>
              <c:multiLvlStrCache>
                <c:ptCount val="20"/>
                <c:lvl>
                  <c:pt idx="0">
                    <c:v>Dinner</c:v>
                  </c:pt>
                  <c:pt idx="1">
                    <c:v>Dinner</c:v>
                  </c:pt>
                  <c:pt idx="2">
                    <c:v>Lunch</c:v>
                  </c:pt>
                  <c:pt idx="3">
                    <c:v>Dinner</c:v>
                  </c:pt>
                  <c:pt idx="4">
                    <c:v>Dinner</c:v>
                  </c:pt>
                  <c:pt idx="5">
                    <c:v>Lunch</c:v>
                  </c:pt>
                  <c:pt idx="6">
                    <c:v>Dinner</c:v>
                  </c:pt>
                  <c:pt idx="7">
                    <c:v>Dinner</c:v>
                  </c:pt>
                  <c:pt idx="8">
                    <c:v>Lunch</c:v>
                  </c:pt>
                  <c:pt idx="9">
                    <c:v>Dinner</c:v>
                  </c:pt>
                  <c:pt idx="10">
                    <c:v>Lunch</c:v>
                  </c:pt>
                  <c:pt idx="11">
                    <c:v>Dinner</c:v>
                  </c:pt>
                  <c:pt idx="12">
                    <c:v>Dinner</c:v>
                  </c:pt>
                  <c:pt idx="13">
                    <c:v>Dinner</c:v>
                  </c:pt>
                  <c:pt idx="14">
                    <c:v>Lunch</c:v>
                  </c:pt>
                  <c:pt idx="15">
                    <c:v>Dinner</c:v>
                  </c:pt>
                  <c:pt idx="16">
                    <c:v>Dinner</c:v>
                  </c:pt>
                  <c:pt idx="17">
                    <c:v>Lunch</c:v>
                  </c:pt>
                  <c:pt idx="18">
                    <c:v>Dinner</c:v>
                  </c:pt>
                  <c:pt idx="19">
                    <c:v>Lunch</c:v>
                  </c:pt>
                </c:lvl>
                <c:lvl>
                  <c:pt idx="0">
                    <c:v>Sun</c:v>
                  </c:pt>
                  <c:pt idx="1">
                    <c:v>Fri</c:v>
                  </c:pt>
                  <c:pt idx="3">
                    <c:v>Sat</c:v>
                  </c:pt>
                  <c:pt idx="4">
                    <c:v>Thur</c:v>
                  </c:pt>
                  <c:pt idx="6">
                    <c:v>Sun</c:v>
                  </c:pt>
                  <c:pt idx="7">
                    <c:v>Fri</c:v>
                  </c:pt>
                  <c:pt idx="9">
                    <c:v>Sat</c:v>
                  </c:pt>
                  <c:pt idx="10">
                    <c:v>Thur</c:v>
                  </c:pt>
                  <c:pt idx="11">
                    <c:v>Sun</c:v>
                  </c:pt>
                  <c:pt idx="12">
                    <c:v>Fri</c:v>
                  </c:pt>
                  <c:pt idx="13">
                    <c:v>Sat</c:v>
                  </c:pt>
                  <c:pt idx="14">
                    <c:v>Thur</c:v>
                  </c:pt>
                  <c:pt idx="15">
                    <c:v>Sun</c:v>
                  </c:pt>
                  <c:pt idx="16">
                    <c:v>Fri</c:v>
                  </c:pt>
                  <c:pt idx="18">
                    <c:v>Sat</c:v>
                  </c:pt>
                  <c:pt idx="19">
                    <c:v>Thur</c:v>
                  </c:pt>
                </c:lvl>
                <c:lvl>
                  <c:pt idx="0">
                    <c:v>No</c:v>
                  </c:pt>
                  <c:pt idx="6">
                    <c:v>Yes</c:v>
                  </c:pt>
                  <c:pt idx="11">
                    <c:v>No</c:v>
                  </c:pt>
                  <c:pt idx="15">
                    <c:v>Yes</c:v>
                  </c:pt>
                </c:lvl>
                <c:lvl>
                  <c:pt idx="0">
                    <c:v>Female</c:v>
                  </c:pt>
                  <c:pt idx="11">
                    <c:v>Male</c:v>
                  </c:pt>
                </c:lvl>
              </c:multiLvlStrCache>
            </c:multiLvlStrRef>
          </c:cat>
          <c:val>
            <c:numRef>
              <c:f>Sheet1!$D$4:$D$46</c:f>
              <c:numCache>
                <c:formatCode>General</c:formatCode>
                <c:ptCount val="20"/>
                <c:pt idx="0">
                  <c:v>14</c:v>
                </c:pt>
                <c:pt idx="1">
                  <c:v>1</c:v>
                </c:pt>
                <c:pt idx="2">
                  <c:v>1</c:v>
                </c:pt>
                <c:pt idx="3">
                  <c:v>13</c:v>
                </c:pt>
                <c:pt idx="4">
                  <c:v>1</c:v>
                </c:pt>
                <c:pt idx="5">
                  <c:v>24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15</c:v>
                </c:pt>
                <c:pt idx="10">
                  <c:v>6</c:v>
                </c:pt>
                <c:pt idx="11">
                  <c:v>43</c:v>
                </c:pt>
                <c:pt idx="12">
                  <c:v>2</c:v>
                </c:pt>
                <c:pt idx="13">
                  <c:v>32</c:v>
                </c:pt>
                <c:pt idx="14">
                  <c:v>20</c:v>
                </c:pt>
                <c:pt idx="15">
                  <c:v>15</c:v>
                </c:pt>
                <c:pt idx="16">
                  <c:v>5</c:v>
                </c:pt>
                <c:pt idx="17">
                  <c:v>3</c:v>
                </c:pt>
                <c:pt idx="18">
                  <c:v>27</c:v>
                </c:pt>
                <c:pt idx="1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A7-4898-A3EF-5A7E6C0E44C0}"/>
            </c:ext>
          </c:extLst>
        </c:ser>
        <c:ser>
          <c:idx val="3"/>
          <c:order val="3"/>
          <c:tx>
            <c:strRef>
              <c:f>Sheet1!$E$3</c:f>
              <c:strCache>
                <c:ptCount val="1"/>
                <c:pt idx="0">
                  <c:v>Sum of size2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multiLvlStrRef>
              <c:f>Sheet1!$A$4:$A$46</c:f>
              <c:multiLvlStrCache>
                <c:ptCount val="20"/>
                <c:lvl>
                  <c:pt idx="0">
                    <c:v>Dinner</c:v>
                  </c:pt>
                  <c:pt idx="1">
                    <c:v>Dinner</c:v>
                  </c:pt>
                  <c:pt idx="2">
                    <c:v>Lunch</c:v>
                  </c:pt>
                  <c:pt idx="3">
                    <c:v>Dinner</c:v>
                  </c:pt>
                  <c:pt idx="4">
                    <c:v>Dinner</c:v>
                  </c:pt>
                  <c:pt idx="5">
                    <c:v>Lunch</c:v>
                  </c:pt>
                  <c:pt idx="6">
                    <c:v>Dinner</c:v>
                  </c:pt>
                  <c:pt idx="7">
                    <c:v>Dinner</c:v>
                  </c:pt>
                  <c:pt idx="8">
                    <c:v>Lunch</c:v>
                  </c:pt>
                  <c:pt idx="9">
                    <c:v>Dinner</c:v>
                  </c:pt>
                  <c:pt idx="10">
                    <c:v>Lunch</c:v>
                  </c:pt>
                  <c:pt idx="11">
                    <c:v>Dinner</c:v>
                  </c:pt>
                  <c:pt idx="12">
                    <c:v>Dinner</c:v>
                  </c:pt>
                  <c:pt idx="13">
                    <c:v>Dinner</c:v>
                  </c:pt>
                  <c:pt idx="14">
                    <c:v>Lunch</c:v>
                  </c:pt>
                  <c:pt idx="15">
                    <c:v>Dinner</c:v>
                  </c:pt>
                  <c:pt idx="16">
                    <c:v>Dinner</c:v>
                  </c:pt>
                  <c:pt idx="17">
                    <c:v>Lunch</c:v>
                  </c:pt>
                  <c:pt idx="18">
                    <c:v>Dinner</c:v>
                  </c:pt>
                  <c:pt idx="19">
                    <c:v>Lunch</c:v>
                  </c:pt>
                </c:lvl>
                <c:lvl>
                  <c:pt idx="0">
                    <c:v>Sun</c:v>
                  </c:pt>
                  <c:pt idx="1">
                    <c:v>Fri</c:v>
                  </c:pt>
                  <c:pt idx="3">
                    <c:v>Sat</c:v>
                  </c:pt>
                  <c:pt idx="4">
                    <c:v>Thur</c:v>
                  </c:pt>
                  <c:pt idx="6">
                    <c:v>Sun</c:v>
                  </c:pt>
                  <c:pt idx="7">
                    <c:v>Fri</c:v>
                  </c:pt>
                  <c:pt idx="9">
                    <c:v>Sat</c:v>
                  </c:pt>
                  <c:pt idx="10">
                    <c:v>Thur</c:v>
                  </c:pt>
                  <c:pt idx="11">
                    <c:v>Sun</c:v>
                  </c:pt>
                  <c:pt idx="12">
                    <c:v>Fri</c:v>
                  </c:pt>
                  <c:pt idx="13">
                    <c:v>Sat</c:v>
                  </c:pt>
                  <c:pt idx="14">
                    <c:v>Thur</c:v>
                  </c:pt>
                  <c:pt idx="15">
                    <c:v>Sun</c:v>
                  </c:pt>
                  <c:pt idx="16">
                    <c:v>Fri</c:v>
                  </c:pt>
                  <c:pt idx="18">
                    <c:v>Sat</c:v>
                  </c:pt>
                  <c:pt idx="19">
                    <c:v>Thur</c:v>
                  </c:pt>
                </c:lvl>
                <c:lvl>
                  <c:pt idx="0">
                    <c:v>No</c:v>
                  </c:pt>
                  <c:pt idx="6">
                    <c:v>Yes</c:v>
                  </c:pt>
                  <c:pt idx="11">
                    <c:v>No</c:v>
                  </c:pt>
                  <c:pt idx="15">
                    <c:v>Yes</c:v>
                  </c:pt>
                </c:lvl>
                <c:lvl>
                  <c:pt idx="0">
                    <c:v>Female</c:v>
                  </c:pt>
                  <c:pt idx="11">
                    <c:v>Male</c:v>
                  </c:pt>
                </c:lvl>
              </c:multiLvlStrCache>
            </c:multiLvlStrRef>
          </c:cat>
          <c:val>
            <c:numRef>
              <c:f>Sheet1!$E$4:$E$46</c:f>
              <c:numCache>
                <c:formatCode>General</c:formatCode>
                <c:ptCount val="20"/>
                <c:pt idx="0">
                  <c:v>43</c:v>
                </c:pt>
                <c:pt idx="1">
                  <c:v>2</c:v>
                </c:pt>
                <c:pt idx="2">
                  <c:v>3</c:v>
                </c:pt>
                <c:pt idx="3">
                  <c:v>30</c:v>
                </c:pt>
                <c:pt idx="4">
                  <c:v>2</c:v>
                </c:pt>
                <c:pt idx="5">
                  <c:v>60</c:v>
                </c:pt>
                <c:pt idx="6">
                  <c:v>10</c:v>
                </c:pt>
                <c:pt idx="7">
                  <c:v>8</c:v>
                </c:pt>
                <c:pt idx="8">
                  <c:v>6</c:v>
                </c:pt>
                <c:pt idx="9">
                  <c:v>33</c:v>
                </c:pt>
                <c:pt idx="10">
                  <c:v>15</c:v>
                </c:pt>
                <c:pt idx="11">
                  <c:v>124</c:v>
                </c:pt>
                <c:pt idx="12">
                  <c:v>4</c:v>
                </c:pt>
                <c:pt idx="13">
                  <c:v>85</c:v>
                </c:pt>
                <c:pt idx="14">
                  <c:v>50</c:v>
                </c:pt>
                <c:pt idx="15">
                  <c:v>39</c:v>
                </c:pt>
                <c:pt idx="16">
                  <c:v>12</c:v>
                </c:pt>
                <c:pt idx="17">
                  <c:v>5</c:v>
                </c:pt>
                <c:pt idx="18">
                  <c:v>71</c:v>
                </c:pt>
                <c:pt idx="19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A7-4898-A3EF-5A7E6C0E44C0}"/>
            </c:ext>
          </c:extLst>
        </c:ser>
        <c:ser>
          <c:idx val="4"/>
          <c:order val="4"/>
          <c:tx>
            <c:strRef>
              <c:f>Sheet1!$F$3</c:f>
              <c:strCache>
                <c:ptCount val="1"/>
                <c:pt idx="0">
                  <c:v>Count of sex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multiLvlStrRef>
              <c:f>Sheet1!$A$4:$A$46</c:f>
              <c:multiLvlStrCache>
                <c:ptCount val="20"/>
                <c:lvl>
                  <c:pt idx="0">
                    <c:v>Dinner</c:v>
                  </c:pt>
                  <c:pt idx="1">
                    <c:v>Dinner</c:v>
                  </c:pt>
                  <c:pt idx="2">
                    <c:v>Lunch</c:v>
                  </c:pt>
                  <c:pt idx="3">
                    <c:v>Dinner</c:v>
                  </c:pt>
                  <c:pt idx="4">
                    <c:v>Dinner</c:v>
                  </c:pt>
                  <c:pt idx="5">
                    <c:v>Lunch</c:v>
                  </c:pt>
                  <c:pt idx="6">
                    <c:v>Dinner</c:v>
                  </c:pt>
                  <c:pt idx="7">
                    <c:v>Dinner</c:v>
                  </c:pt>
                  <c:pt idx="8">
                    <c:v>Lunch</c:v>
                  </c:pt>
                  <c:pt idx="9">
                    <c:v>Dinner</c:v>
                  </c:pt>
                  <c:pt idx="10">
                    <c:v>Lunch</c:v>
                  </c:pt>
                  <c:pt idx="11">
                    <c:v>Dinner</c:v>
                  </c:pt>
                  <c:pt idx="12">
                    <c:v>Dinner</c:v>
                  </c:pt>
                  <c:pt idx="13">
                    <c:v>Dinner</c:v>
                  </c:pt>
                  <c:pt idx="14">
                    <c:v>Lunch</c:v>
                  </c:pt>
                  <c:pt idx="15">
                    <c:v>Dinner</c:v>
                  </c:pt>
                  <c:pt idx="16">
                    <c:v>Dinner</c:v>
                  </c:pt>
                  <c:pt idx="17">
                    <c:v>Lunch</c:v>
                  </c:pt>
                  <c:pt idx="18">
                    <c:v>Dinner</c:v>
                  </c:pt>
                  <c:pt idx="19">
                    <c:v>Lunch</c:v>
                  </c:pt>
                </c:lvl>
                <c:lvl>
                  <c:pt idx="0">
                    <c:v>Sun</c:v>
                  </c:pt>
                  <c:pt idx="1">
                    <c:v>Fri</c:v>
                  </c:pt>
                  <c:pt idx="3">
                    <c:v>Sat</c:v>
                  </c:pt>
                  <c:pt idx="4">
                    <c:v>Thur</c:v>
                  </c:pt>
                  <c:pt idx="6">
                    <c:v>Sun</c:v>
                  </c:pt>
                  <c:pt idx="7">
                    <c:v>Fri</c:v>
                  </c:pt>
                  <c:pt idx="9">
                    <c:v>Sat</c:v>
                  </c:pt>
                  <c:pt idx="10">
                    <c:v>Thur</c:v>
                  </c:pt>
                  <c:pt idx="11">
                    <c:v>Sun</c:v>
                  </c:pt>
                  <c:pt idx="12">
                    <c:v>Fri</c:v>
                  </c:pt>
                  <c:pt idx="13">
                    <c:v>Sat</c:v>
                  </c:pt>
                  <c:pt idx="14">
                    <c:v>Thur</c:v>
                  </c:pt>
                  <c:pt idx="15">
                    <c:v>Sun</c:v>
                  </c:pt>
                  <c:pt idx="16">
                    <c:v>Fri</c:v>
                  </c:pt>
                  <c:pt idx="18">
                    <c:v>Sat</c:v>
                  </c:pt>
                  <c:pt idx="19">
                    <c:v>Thur</c:v>
                  </c:pt>
                </c:lvl>
                <c:lvl>
                  <c:pt idx="0">
                    <c:v>No</c:v>
                  </c:pt>
                  <c:pt idx="6">
                    <c:v>Yes</c:v>
                  </c:pt>
                  <c:pt idx="11">
                    <c:v>No</c:v>
                  </c:pt>
                  <c:pt idx="15">
                    <c:v>Yes</c:v>
                  </c:pt>
                </c:lvl>
                <c:lvl>
                  <c:pt idx="0">
                    <c:v>Female</c:v>
                  </c:pt>
                  <c:pt idx="11">
                    <c:v>Male</c:v>
                  </c:pt>
                </c:lvl>
              </c:multiLvlStrCache>
            </c:multiLvlStrRef>
          </c:cat>
          <c:val>
            <c:numRef>
              <c:f>Sheet1!$F$4:$F$46</c:f>
              <c:numCache>
                <c:formatCode>General</c:formatCode>
                <c:ptCount val="20"/>
                <c:pt idx="0">
                  <c:v>14</c:v>
                </c:pt>
                <c:pt idx="1">
                  <c:v>1</c:v>
                </c:pt>
                <c:pt idx="2">
                  <c:v>1</c:v>
                </c:pt>
                <c:pt idx="3">
                  <c:v>13</c:v>
                </c:pt>
                <c:pt idx="4">
                  <c:v>1</c:v>
                </c:pt>
                <c:pt idx="5">
                  <c:v>24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15</c:v>
                </c:pt>
                <c:pt idx="10">
                  <c:v>6</c:v>
                </c:pt>
                <c:pt idx="11">
                  <c:v>43</c:v>
                </c:pt>
                <c:pt idx="12">
                  <c:v>2</c:v>
                </c:pt>
                <c:pt idx="13">
                  <c:v>32</c:v>
                </c:pt>
                <c:pt idx="14">
                  <c:v>20</c:v>
                </c:pt>
                <c:pt idx="15">
                  <c:v>15</c:v>
                </c:pt>
                <c:pt idx="16">
                  <c:v>5</c:v>
                </c:pt>
                <c:pt idx="17">
                  <c:v>3</c:v>
                </c:pt>
                <c:pt idx="18">
                  <c:v>27</c:v>
                </c:pt>
                <c:pt idx="1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A7-4898-A3EF-5A7E6C0E44C0}"/>
            </c:ext>
          </c:extLst>
        </c:ser>
        <c:ser>
          <c:idx val="5"/>
          <c:order val="5"/>
          <c:tx>
            <c:strRef>
              <c:f>Sheet1!$G$3</c:f>
              <c:strCache>
                <c:ptCount val="1"/>
                <c:pt idx="0">
                  <c:v>Count of 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multiLvlStrRef>
              <c:f>Sheet1!$A$4:$A$46</c:f>
              <c:multiLvlStrCache>
                <c:ptCount val="20"/>
                <c:lvl>
                  <c:pt idx="0">
                    <c:v>Dinner</c:v>
                  </c:pt>
                  <c:pt idx="1">
                    <c:v>Dinner</c:v>
                  </c:pt>
                  <c:pt idx="2">
                    <c:v>Lunch</c:v>
                  </c:pt>
                  <c:pt idx="3">
                    <c:v>Dinner</c:v>
                  </c:pt>
                  <c:pt idx="4">
                    <c:v>Dinner</c:v>
                  </c:pt>
                  <c:pt idx="5">
                    <c:v>Lunch</c:v>
                  </c:pt>
                  <c:pt idx="6">
                    <c:v>Dinner</c:v>
                  </c:pt>
                  <c:pt idx="7">
                    <c:v>Dinner</c:v>
                  </c:pt>
                  <c:pt idx="8">
                    <c:v>Lunch</c:v>
                  </c:pt>
                  <c:pt idx="9">
                    <c:v>Dinner</c:v>
                  </c:pt>
                  <c:pt idx="10">
                    <c:v>Lunch</c:v>
                  </c:pt>
                  <c:pt idx="11">
                    <c:v>Dinner</c:v>
                  </c:pt>
                  <c:pt idx="12">
                    <c:v>Dinner</c:v>
                  </c:pt>
                  <c:pt idx="13">
                    <c:v>Dinner</c:v>
                  </c:pt>
                  <c:pt idx="14">
                    <c:v>Lunch</c:v>
                  </c:pt>
                  <c:pt idx="15">
                    <c:v>Dinner</c:v>
                  </c:pt>
                  <c:pt idx="16">
                    <c:v>Dinner</c:v>
                  </c:pt>
                  <c:pt idx="17">
                    <c:v>Lunch</c:v>
                  </c:pt>
                  <c:pt idx="18">
                    <c:v>Dinner</c:v>
                  </c:pt>
                  <c:pt idx="19">
                    <c:v>Lunch</c:v>
                  </c:pt>
                </c:lvl>
                <c:lvl>
                  <c:pt idx="0">
                    <c:v>Sun</c:v>
                  </c:pt>
                  <c:pt idx="1">
                    <c:v>Fri</c:v>
                  </c:pt>
                  <c:pt idx="3">
                    <c:v>Sat</c:v>
                  </c:pt>
                  <c:pt idx="4">
                    <c:v>Thur</c:v>
                  </c:pt>
                  <c:pt idx="6">
                    <c:v>Sun</c:v>
                  </c:pt>
                  <c:pt idx="7">
                    <c:v>Fri</c:v>
                  </c:pt>
                  <c:pt idx="9">
                    <c:v>Sat</c:v>
                  </c:pt>
                  <c:pt idx="10">
                    <c:v>Thur</c:v>
                  </c:pt>
                  <c:pt idx="11">
                    <c:v>Sun</c:v>
                  </c:pt>
                  <c:pt idx="12">
                    <c:v>Fri</c:v>
                  </c:pt>
                  <c:pt idx="13">
                    <c:v>Sat</c:v>
                  </c:pt>
                  <c:pt idx="14">
                    <c:v>Thur</c:v>
                  </c:pt>
                  <c:pt idx="15">
                    <c:v>Sun</c:v>
                  </c:pt>
                  <c:pt idx="16">
                    <c:v>Fri</c:v>
                  </c:pt>
                  <c:pt idx="18">
                    <c:v>Sat</c:v>
                  </c:pt>
                  <c:pt idx="19">
                    <c:v>Thur</c:v>
                  </c:pt>
                </c:lvl>
                <c:lvl>
                  <c:pt idx="0">
                    <c:v>No</c:v>
                  </c:pt>
                  <c:pt idx="6">
                    <c:v>Yes</c:v>
                  </c:pt>
                  <c:pt idx="11">
                    <c:v>No</c:v>
                  </c:pt>
                  <c:pt idx="15">
                    <c:v>Yes</c:v>
                  </c:pt>
                </c:lvl>
                <c:lvl>
                  <c:pt idx="0">
                    <c:v>Female</c:v>
                  </c:pt>
                  <c:pt idx="11">
                    <c:v>Male</c:v>
                  </c:pt>
                </c:lvl>
              </c:multiLvlStrCache>
            </c:multiLvlStrRef>
          </c:cat>
          <c:val>
            <c:numRef>
              <c:f>Sheet1!$G$4:$G$46</c:f>
              <c:numCache>
                <c:formatCode>General</c:formatCode>
                <c:ptCount val="20"/>
                <c:pt idx="0">
                  <c:v>14</c:v>
                </c:pt>
                <c:pt idx="1">
                  <c:v>1</c:v>
                </c:pt>
                <c:pt idx="2">
                  <c:v>1</c:v>
                </c:pt>
                <c:pt idx="3">
                  <c:v>13</c:v>
                </c:pt>
                <c:pt idx="4">
                  <c:v>1</c:v>
                </c:pt>
                <c:pt idx="5">
                  <c:v>24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15</c:v>
                </c:pt>
                <c:pt idx="10">
                  <c:v>6</c:v>
                </c:pt>
                <c:pt idx="11">
                  <c:v>43</c:v>
                </c:pt>
                <c:pt idx="12">
                  <c:v>2</c:v>
                </c:pt>
                <c:pt idx="13">
                  <c:v>32</c:v>
                </c:pt>
                <c:pt idx="14">
                  <c:v>20</c:v>
                </c:pt>
                <c:pt idx="15">
                  <c:v>15</c:v>
                </c:pt>
                <c:pt idx="16">
                  <c:v>5</c:v>
                </c:pt>
                <c:pt idx="17">
                  <c:v>3</c:v>
                </c:pt>
                <c:pt idx="18">
                  <c:v>27</c:v>
                </c:pt>
                <c:pt idx="1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2A7-4898-A3EF-5A7E6C0E4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37873631"/>
        <c:axId val="2137848191"/>
        <c:axId val="0"/>
      </c:bar3DChart>
      <c:catAx>
        <c:axId val="2137873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848191"/>
        <c:crosses val="autoZero"/>
        <c:auto val="1"/>
        <c:lblAlgn val="ctr"/>
        <c:lblOffset val="100"/>
        <c:noMultiLvlLbl val="0"/>
      </c:catAx>
      <c:valAx>
        <c:axId val="213784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873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175260</xdr:colOff>
      <xdr:row>1</xdr:row>
      <xdr:rowOff>121920</xdr:rowOff>
    </xdr:from>
    <xdr:to>
      <xdr:col>14</xdr:col>
      <xdr:colOff>129540</xdr:colOff>
      <xdr:row>20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684EFA-81AD-518E-3AC8-CEDD848B1F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81.575152893522" createdVersion="8" refreshedVersion="8" minRefreshableVersion="3" recordCount="243" xr:uid="{52C100B0-00AB-4AEC-91D7-AC94B131C5B3}">
  <cacheSource type="worksheet">
    <worksheetSource ref="A1:G244" sheet="tips.csv"/>
  </cacheSource>
  <cacheFields count="7">
    <cacheField name="total_bill" numFmtId="0">
      <sharedItems containsSemiMixedTypes="0" containsString="0" containsNumber="1" minValue="3.07" maxValue="50.81"/>
    </cacheField>
    <cacheField name="tip" numFmtId="0">
      <sharedItems containsSemiMixedTypes="0" containsString="0" containsNumber="1" minValue="1" maxValue="10"/>
    </cacheField>
    <cacheField name="sex" numFmtId="0">
      <sharedItems count="2">
        <s v="Female"/>
        <s v="Male"/>
      </sharedItems>
    </cacheField>
    <cacheField name="smoker" numFmtId="0">
      <sharedItems count="2">
        <s v="No"/>
        <s v="Yes"/>
      </sharedItems>
    </cacheField>
    <cacheField name="day" numFmtId="0">
      <sharedItems count="4">
        <s v="Sun"/>
        <s v="Sat"/>
        <s v="Thur"/>
        <s v="Fri"/>
      </sharedItems>
    </cacheField>
    <cacheField name="time" numFmtId="0">
      <sharedItems count="2">
        <s v="Dinner"/>
        <s v="Lunch"/>
      </sharedItems>
    </cacheField>
    <cacheField name="size" numFmtId="0">
      <sharedItems containsSemiMixedTypes="0" containsString="0" containsNumber="1" containsInteger="1" minValue="1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3">
  <r>
    <n v="16.989999999999998"/>
    <n v="1.01"/>
    <x v="0"/>
    <x v="0"/>
    <x v="0"/>
    <x v="0"/>
    <n v="2"/>
  </r>
  <r>
    <n v="10.34"/>
    <n v="1.66"/>
    <x v="1"/>
    <x v="0"/>
    <x v="0"/>
    <x v="0"/>
    <n v="3"/>
  </r>
  <r>
    <n v="21.01"/>
    <n v="3.5"/>
    <x v="1"/>
    <x v="0"/>
    <x v="0"/>
    <x v="0"/>
    <n v="3"/>
  </r>
  <r>
    <n v="23.68"/>
    <n v="3.31"/>
    <x v="1"/>
    <x v="0"/>
    <x v="0"/>
    <x v="0"/>
    <n v="2"/>
  </r>
  <r>
    <n v="24.59"/>
    <n v="3.61"/>
    <x v="0"/>
    <x v="0"/>
    <x v="0"/>
    <x v="0"/>
    <n v="4"/>
  </r>
  <r>
    <n v="25.29"/>
    <n v="4.71"/>
    <x v="1"/>
    <x v="0"/>
    <x v="0"/>
    <x v="0"/>
    <n v="4"/>
  </r>
  <r>
    <n v="8.77"/>
    <n v="2"/>
    <x v="1"/>
    <x v="0"/>
    <x v="0"/>
    <x v="0"/>
    <n v="2"/>
  </r>
  <r>
    <n v="26.88"/>
    <n v="3.12"/>
    <x v="1"/>
    <x v="0"/>
    <x v="0"/>
    <x v="0"/>
    <n v="4"/>
  </r>
  <r>
    <n v="15.04"/>
    <n v="1.96"/>
    <x v="1"/>
    <x v="0"/>
    <x v="0"/>
    <x v="0"/>
    <n v="2"/>
  </r>
  <r>
    <n v="14.78"/>
    <n v="3.23"/>
    <x v="1"/>
    <x v="0"/>
    <x v="0"/>
    <x v="0"/>
    <n v="2"/>
  </r>
  <r>
    <n v="10.27"/>
    <n v="1.71"/>
    <x v="1"/>
    <x v="0"/>
    <x v="0"/>
    <x v="0"/>
    <n v="2"/>
  </r>
  <r>
    <n v="35.26"/>
    <n v="5"/>
    <x v="0"/>
    <x v="0"/>
    <x v="0"/>
    <x v="0"/>
    <n v="4"/>
  </r>
  <r>
    <n v="15.42"/>
    <n v="1.57"/>
    <x v="1"/>
    <x v="0"/>
    <x v="0"/>
    <x v="0"/>
    <n v="2"/>
  </r>
  <r>
    <n v="18.43"/>
    <n v="3"/>
    <x v="1"/>
    <x v="0"/>
    <x v="0"/>
    <x v="0"/>
    <n v="4"/>
  </r>
  <r>
    <n v="14.83"/>
    <n v="3.02"/>
    <x v="0"/>
    <x v="0"/>
    <x v="0"/>
    <x v="0"/>
    <n v="2"/>
  </r>
  <r>
    <n v="21.58"/>
    <n v="3.92"/>
    <x v="1"/>
    <x v="0"/>
    <x v="0"/>
    <x v="0"/>
    <n v="2"/>
  </r>
  <r>
    <n v="10.33"/>
    <n v="1.67"/>
    <x v="0"/>
    <x v="0"/>
    <x v="0"/>
    <x v="0"/>
    <n v="3"/>
  </r>
  <r>
    <n v="16.29"/>
    <n v="3.71"/>
    <x v="1"/>
    <x v="0"/>
    <x v="0"/>
    <x v="0"/>
    <n v="3"/>
  </r>
  <r>
    <n v="16.97"/>
    <n v="3.5"/>
    <x v="0"/>
    <x v="0"/>
    <x v="0"/>
    <x v="0"/>
    <n v="3"/>
  </r>
  <r>
    <n v="20.65"/>
    <n v="3.35"/>
    <x v="1"/>
    <x v="0"/>
    <x v="1"/>
    <x v="0"/>
    <n v="3"/>
  </r>
  <r>
    <n v="17.920000000000002"/>
    <n v="4.08"/>
    <x v="1"/>
    <x v="0"/>
    <x v="1"/>
    <x v="0"/>
    <n v="2"/>
  </r>
  <r>
    <n v="20.29"/>
    <n v="2.75"/>
    <x v="0"/>
    <x v="0"/>
    <x v="1"/>
    <x v="0"/>
    <n v="2"/>
  </r>
  <r>
    <n v="15.77"/>
    <n v="2.23"/>
    <x v="0"/>
    <x v="0"/>
    <x v="1"/>
    <x v="0"/>
    <n v="2"/>
  </r>
  <r>
    <n v="39.42"/>
    <n v="7.58"/>
    <x v="1"/>
    <x v="0"/>
    <x v="1"/>
    <x v="0"/>
    <n v="4"/>
  </r>
  <r>
    <n v="19.82"/>
    <n v="3.18"/>
    <x v="1"/>
    <x v="0"/>
    <x v="1"/>
    <x v="0"/>
    <n v="2"/>
  </r>
  <r>
    <n v="17.809999999999999"/>
    <n v="2.34"/>
    <x v="1"/>
    <x v="0"/>
    <x v="1"/>
    <x v="0"/>
    <n v="4"/>
  </r>
  <r>
    <n v="13.37"/>
    <n v="2"/>
    <x v="1"/>
    <x v="0"/>
    <x v="1"/>
    <x v="0"/>
    <n v="2"/>
  </r>
  <r>
    <n v="12.69"/>
    <n v="2"/>
    <x v="1"/>
    <x v="0"/>
    <x v="1"/>
    <x v="0"/>
    <n v="2"/>
  </r>
  <r>
    <n v="21.7"/>
    <n v="4.3"/>
    <x v="1"/>
    <x v="0"/>
    <x v="1"/>
    <x v="0"/>
    <n v="2"/>
  </r>
  <r>
    <n v="19.649999999999999"/>
    <n v="3"/>
    <x v="0"/>
    <x v="0"/>
    <x v="1"/>
    <x v="0"/>
    <n v="2"/>
  </r>
  <r>
    <n v="9.5500000000000007"/>
    <n v="1.45"/>
    <x v="1"/>
    <x v="0"/>
    <x v="1"/>
    <x v="0"/>
    <n v="2"/>
  </r>
  <r>
    <n v="18.350000000000001"/>
    <n v="2.5"/>
    <x v="1"/>
    <x v="0"/>
    <x v="1"/>
    <x v="0"/>
    <n v="4"/>
  </r>
  <r>
    <n v="15.06"/>
    <n v="3"/>
    <x v="0"/>
    <x v="0"/>
    <x v="1"/>
    <x v="0"/>
    <n v="2"/>
  </r>
  <r>
    <n v="20.69"/>
    <n v="2.4500000000000002"/>
    <x v="0"/>
    <x v="0"/>
    <x v="1"/>
    <x v="0"/>
    <n v="4"/>
  </r>
  <r>
    <n v="17.78"/>
    <n v="3.27"/>
    <x v="1"/>
    <x v="0"/>
    <x v="1"/>
    <x v="0"/>
    <n v="2"/>
  </r>
  <r>
    <n v="24.06"/>
    <n v="3.6"/>
    <x v="1"/>
    <x v="0"/>
    <x v="1"/>
    <x v="0"/>
    <n v="3"/>
  </r>
  <r>
    <n v="16.309999999999999"/>
    <n v="2"/>
    <x v="1"/>
    <x v="0"/>
    <x v="1"/>
    <x v="0"/>
    <n v="3"/>
  </r>
  <r>
    <n v="16.93"/>
    <n v="3.07"/>
    <x v="0"/>
    <x v="0"/>
    <x v="1"/>
    <x v="0"/>
    <n v="3"/>
  </r>
  <r>
    <n v="18.690000000000001"/>
    <n v="2.31"/>
    <x v="1"/>
    <x v="0"/>
    <x v="1"/>
    <x v="0"/>
    <n v="3"/>
  </r>
  <r>
    <n v="31.27"/>
    <n v="5"/>
    <x v="1"/>
    <x v="0"/>
    <x v="1"/>
    <x v="0"/>
    <n v="3"/>
  </r>
  <r>
    <n v="16.04"/>
    <n v="2.2400000000000002"/>
    <x v="1"/>
    <x v="0"/>
    <x v="1"/>
    <x v="0"/>
    <n v="3"/>
  </r>
  <r>
    <n v="17.46"/>
    <n v="2.54"/>
    <x v="1"/>
    <x v="0"/>
    <x v="0"/>
    <x v="0"/>
    <n v="2"/>
  </r>
  <r>
    <n v="13.94"/>
    <n v="3.06"/>
    <x v="1"/>
    <x v="0"/>
    <x v="0"/>
    <x v="0"/>
    <n v="2"/>
  </r>
  <r>
    <n v="9.68"/>
    <n v="1.32"/>
    <x v="1"/>
    <x v="0"/>
    <x v="0"/>
    <x v="0"/>
    <n v="2"/>
  </r>
  <r>
    <n v="30.4"/>
    <n v="5.6"/>
    <x v="1"/>
    <x v="0"/>
    <x v="0"/>
    <x v="0"/>
    <n v="4"/>
  </r>
  <r>
    <n v="18.29"/>
    <n v="3"/>
    <x v="1"/>
    <x v="0"/>
    <x v="0"/>
    <x v="0"/>
    <n v="2"/>
  </r>
  <r>
    <n v="22.23"/>
    <n v="5"/>
    <x v="1"/>
    <x v="0"/>
    <x v="0"/>
    <x v="0"/>
    <n v="2"/>
  </r>
  <r>
    <n v="32.4"/>
    <n v="6"/>
    <x v="1"/>
    <x v="0"/>
    <x v="0"/>
    <x v="0"/>
    <n v="4"/>
  </r>
  <r>
    <n v="28.55"/>
    <n v="2.0499999999999998"/>
    <x v="1"/>
    <x v="0"/>
    <x v="0"/>
    <x v="0"/>
    <n v="3"/>
  </r>
  <r>
    <n v="18.04"/>
    <n v="3"/>
    <x v="1"/>
    <x v="0"/>
    <x v="0"/>
    <x v="0"/>
    <n v="2"/>
  </r>
  <r>
    <n v="12.54"/>
    <n v="2.5"/>
    <x v="1"/>
    <x v="0"/>
    <x v="0"/>
    <x v="0"/>
    <n v="2"/>
  </r>
  <r>
    <n v="10.29"/>
    <n v="2.6"/>
    <x v="0"/>
    <x v="0"/>
    <x v="0"/>
    <x v="0"/>
    <n v="2"/>
  </r>
  <r>
    <n v="34.81"/>
    <n v="5.2"/>
    <x v="0"/>
    <x v="0"/>
    <x v="0"/>
    <x v="0"/>
    <n v="4"/>
  </r>
  <r>
    <n v="9.94"/>
    <n v="1.56"/>
    <x v="1"/>
    <x v="0"/>
    <x v="0"/>
    <x v="0"/>
    <n v="2"/>
  </r>
  <r>
    <n v="25.56"/>
    <n v="4.34"/>
    <x v="1"/>
    <x v="0"/>
    <x v="0"/>
    <x v="0"/>
    <n v="4"/>
  </r>
  <r>
    <n v="19.489999999999998"/>
    <n v="3.51"/>
    <x v="1"/>
    <x v="0"/>
    <x v="0"/>
    <x v="0"/>
    <n v="2"/>
  </r>
  <r>
    <n v="38.01"/>
    <n v="3"/>
    <x v="1"/>
    <x v="1"/>
    <x v="1"/>
    <x v="0"/>
    <n v="4"/>
  </r>
  <r>
    <n v="26.41"/>
    <n v="1.5"/>
    <x v="0"/>
    <x v="0"/>
    <x v="1"/>
    <x v="0"/>
    <n v="2"/>
  </r>
  <r>
    <n v="11.24"/>
    <n v="1.76"/>
    <x v="1"/>
    <x v="1"/>
    <x v="1"/>
    <x v="0"/>
    <n v="2"/>
  </r>
  <r>
    <n v="48.27"/>
    <n v="6.73"/>
    <x v="1"/>
    <x v="0"/>
    <x v="1"/>
    <x v="0"/>
    <n v="4"/>
  </r>
  <r>
    <n v="20.29"/>
    <n v="3.21"/>
    <x v="1"/>
    <x v="1"/>
    <x v="1"/>
    <x v="0"/>
    <n v="2"/>
  </r>
  <r>
    <n v="13.81"/>
    <n v="2"/>
    <x v="1"/>
    <x v="1"/>
    <x v="1"/>
    <x v="0"/>
    <n v="2"/>
  </r>
  <r>
    <n v="11.02"/>
    <n v="1.98"/>
    <x v="1"/>
    <x v="1"/>
    <x v="1"/>
    <x v="0"/>
    <n v="2"/>
  </r>
  <r>
    <n v="18.29"/>
    <n v="3.76"/>
    <x v="1"/>
    <x v="1"/>
    <x v="1"/>
    <x v="0"/>
    <n v="4"/>
  </r>
  <r>
    <n v="17.59"/>
    <n v="2.64"/>
    <x v="1"/>
    <x v="0"/>
    <x v="1"/>
    <x v="0"/>
    <n v="3"/>
  </r>
  <r>
    <n v="20.079999999999998"/>
    <n v="3.15"/>
    <x v="1"/>
    <x v="0"/>
    <x v="1"/>
    <x v="0"/>
    <n v="3"/>
  </r>
  <r>
    <n v="16.45"/>
    <n v="2.4700000000000002"/>
    <x v="0"/>
    <x v="0"/>
    <x v="1"/>
    <x v="0"/>
    <n v="2"/>
  </r>
  <r>
    <n v="3.07"/>
    <n v="1"/>
    <x v="0"/>
    <x v="1"/>
    <x v="1"/>
    <x v="0"/>
    <n v="1"/>
  </r>
  <r>
    <n v="20.23"/>
    <n v="2.0099999999999998"/>
    <x v="1"/>
    <x v="0"/>
    <x v="1"/>
    <x v="0"/>
    <n v="2"/>
  </r>
  <r>
    <n v="15.01"/>
    <n v="2.09"/>
    <x v="1"/>
    <x v="1"/>
    <x v="1"/>
    <x v="0"/>
    <n v="2"/>
  </r>
  <r>
    <n v="12.02"/>
    <n v="1.97"/>
    <x v="1"/>
    <x v="0"/>
    <x v="1"/>
    <x v="0"/>
    <n v="2"/>
  </r>
  <r>
    <n v="17.07"/>
    <n v="3"/>
    <x v="0"/>
    <x v="0"/>
    <x v="1"/>
    <x v="0"/>
    <n v="3"/>
  </r>
  <r>
    <n v="26.86"/>
    <n v="3.14"/>
    <x v="0"/>
    <x v="1"/>
    <x v="1"/>
    <x v="0"/>
    <n v="2"/>
  </r>
  <r>
    <n v="25.28"/>
    <n v="5"/>
    <x v="0"/>
    <x v="1"/>
    <x v="1"/>
    <x v="0"/>
    <n v="2"/>
  </r>
  <r>
    <n v="14.73"/>
    <n v="2.2000000000000002"/>
    <x v="0"/>
    <x v="0"/>
    <x v="1"/>
    <x v="0"/>
    <n v="2"/>
  </r>
  <r>
    <n v="10.51"/>
    <n v="1.25"/>
    <x v="1"/>
    <x v="0"/>
    <x v="1"/>
    <x v="0"/>
    <n v="2"/>
  </r>
  <r>
    <n v="17.920000000000002"/>
    <n v="3.08"/>
    <x v="1"/>
    <x v="1"/>
    <x v="1"/>
    <x v="0"/>
    <n v="2"/>
  </r>
  <r>
    <n v="27.2"/>
    <n v="4"/>
    <x v="1"/>
    <x v="0"/>
    <x v="2"/>
    <x v="1"/>
    <n v="4"/>
  </r>
  <r>
    <n v="22.76"/>
    <n v="3"/>
    <x v="1"/>
    <x v="0"/>
    <x v="2"/>
    <x v="1"/>
    <n v="2"/>
  </r>
  <r>
    <n v="17.29"/>
    <n v="2.71"/>
    <x v="1"/>
    <x v="0"/>
    <x v="2"/>
    <x v="1"/>
    <n v="2"/>
  </r>
  <r>
    <n v="19.440000000000001"/>
    <n v="3"/>
    <x v="1"/>
    <x v="1"/>
    <x v="2"/>
    <x v="1"/>
    <n v="2"/>
  </r>
  <r>
    <n v="16.66"/>
    <n v="3.4"/>
    <x v="1"/>
    <x v="0"/>
    <x v="2"/>
    <x v="1"/>
    <n v="2"/>
  </r>
  <r>
    <n v="10.07"/>
    <n v="1.83"/>
    <x v="0"/>
    <x v="0"/>
    <x v="2"/>
    <x v="1"/>
    <n v="1"/>
  </r>
  <r>
    <n v="32.68"/>
    <n v="5"/>
    <x v="1"/>
    <x v="1"/>
    <x v="2"/>
    <x v="1"/>
    <n v="2"/>
  </r>
  <r>
    <n v="15.98"/>
    <n v="2.0299999999999998"/>
    <x v="1"/>
    <x v="0"/>
    <x v="2"/>
    <x v="1"/>
    <n v="2"/>
  </r>
  <r>
    <n v="34.83"/>
    <n v="5.17"/>
    <x v="0"/>
    <x v="0"/>
    <x v="2"/>
    <x v="1"/>
    <n v="4"/>
  </r>
  <r>
    <n v="13.03"/>
    <n v="2"/>
    <x v="1"/>
    <x v="0"/>
    <x v="2"/>
    <x v="1"/>
    <n v="2"/>
  </r>
  <r>
    <n v="18.28"/>
    <n v="4"/>
    <x v="1"/>
    <x v="0"/>
    <x v="2"/>
    <x v="1"/>
    <n v="2"/>
  </r>
  <r>
    <n v="24.71"/>
    <n v="5.85"/>
    <x v="1"/>
    <x v="0"/>
    <x v="2"/>
    <x v="1"/>
    <n v="2"/>
  </r>
  <r>
    <n v="21.16"/>
    <n v="3"/>
    <x v="1"/>
    <x v="0"/>
    <x v="2"/>
    <x v="1"/>
    <n v="2"/>
  </r>
  <r>
    <n v="28.97"/>
    <n v="3"/>
    <x v="1"/>
    <x v="1"/>
    <x v="3"/>
    <x v="0"/>
    <n v="2"/>
  </r>
  <r>
    <n v="22.49"/>
    <n v="3.5"/>
    <x v="1"/>
    <x v="0"/>
    <x v="3"/>
    <x v="0"/>
    <n v="2"/>
  </r>
  <r>
    <n v="5.75"/>
    <n v="1"/>
    <x v="0"/>
    <x v="1"/>
    <x v="3"/>
    <x v="0"/>
    <n v="2"/>
  </r>
  <r>
    <n v="16.32"/>
    <n v="4.3"/>
    <x v="0"/>
    <x v="1"/>
    <x v="3"/>
    <x v="0"/>
    <n v="2"/>
  </r>
  <r>
    <n v="22.75"/>
    <n v="3.25"/>
    <x v="0"/>
    <x v="0"/>
    <x v="3"/>
    <x v="0"/>
    <n v="2"/>
  </r>
  <r>
    <n v="40.17"/>
    <n v="4.7300000000000004"/>
    <x v="1"/>
    <x v="1"/>
    <x v="3"/>
    <x v="0"/>
    <n v="4"/>
  </r>
  <r>
    <n v="27.28"/>
    <n v="4"/>
    <x v="1"/>
    <x v="1"/>
    <x v="3"/>
    <x v="0"/>
    <n v="2"/>
  </r>
  <r>
    <n v="12.03"/>
    <n v="1.5"/>
    <x v="1"/>
    <x v="1"/>
    <x v="3"/>
    <x v="0"/>
    <n v="2"/>
  </r>
  <r>
    <n v="21.01"/>
    <n v="3"/>
    <x v="1"/>
    <x v="1"/>
    <x v="3"/>
    <x v="0"/>
    <n v="2"/>
  </r>
  <r>
    <n v="12.46"/>
    <n v="1.5"/>
    <x v="1"/>
    <x v="0"/>
    <x v="3"/>
    <x v="0"/>
    <n v="2"/>
  </r>
  <r>
    <n v="11.35"/>
    <n v="2.5"/>
    <x v="0"/>
    <x v="1"/>
    <x v="3"/>
    <x v="0"/>
    <n v="2"/>
  </r>
  <r>
    <n v="15.38"/>
    <n v="3"/>
    <x v="0"/>
    <x v="1"/>
    <x v="3"/>
    <x v="0"/>
    <n v="2"/>
  </r>
  <r>
    <n v="44.3"/>
    <n v="2.5"/>
    <x v="0"/>
    <x v="1"/>
    <x v="1"/>
    <x v="0"/>
    <n v="3"/>
  </r>
  <r>
    <n v="22.42"/>
    <n v="3.48"/>
    <x v="0"/>
    <x v="1"/>
    <x v="1"/>
    <x v="0"/>
    <n v="2"/>
  </r>
  <r>
    <n v="20.92"/>
    <n v="4.08"/>
    <x v="0"/>
    <x v="0"/>
    <x v="1"/>
    <x v="0"/>
    <n v="2"/>
  </r>
  <r>
    <n v="15.36"/>
    <n v="1.64"/>
    <x v="1"/>
    <x v="1"/>
    <x v="1"/>
    <x v="0"/>
    <n v="2"/>
  </r>
  <r>
    <n v="20.49"/>
    <n v="4.0599999999999996"/>
    <x v="1"/>
    <x v="1"/>
    <x v="1"/>
    <x v="0"/>
    <n v="2"/>
  </r>
  <r>
    <n v="25.21"/>
    <n v="4.29"/>
    <x v="1"/>
    <x v="1"/>
    <x v="1"/>
    <x v="0"/>
    <n v="2"/>
  </r>
  <r>
    <n v="18.239999999999998"/>
    <n v="3.76"/>
    <x v="1"/>
    <x v="0"/>
    <x v="1"/>
    <x v="0"/>
    <n v="2"/>
  </r>
  <r>
    <n v="14.31"/>
    <n v="4"/>
    <x v="0"/>
    <x v="1"/>
    <x v="1"/>
    <x v="0"/>
    <n v="2"/>
  </r>
  <r>
    <n v="14"/>
    <n v="3"/>
    <x v="1"/>
    <x v="0"/>
    <x v="1"/>
    <x v="0"/>
    <n v="2"/>
  </r>
  <r>
    <n v="7.25"/>
    <n v="1"/>
    <x v="0"/>
    <x v="0"/>
    <x v="1"/>
    <x v="0"/>
    <n v="1"/>
  </r>
  <r>
    <n v="38.07"/>
    <n v="4"/>
    <x v="1"/>
    <x v="0"/>
    <x v="0"/>
    <x v="0"/>
    <n v="3"/>
  </r>
  <r>
    <n v="23.95"/>
    <n v="2.5499999999999998"/>
    <x v="1"/>
    <x v="0"/>
    <x v="0"/>
    <x v="0"/>
    <n v="2"/>
  </r>
  <r>
    <n v="25.71"/>
    <n v="4"/>
    <x v="0"/>
    <x v="0"/>
    <x v="0"/>
    <x v="0"/>
    <n v="3"/>
  </r>
  <r>
    <n v="17.309999999999999"/>
    <n v="3.5"/>
    <x v="0"/>
    <x v="0"/>
    <x v="0"/>
    <x v="0"/>
    <n v="2"/>
  </r>
  <r>
    <n v="29.93"/>
    <n v="5.07"/>
    <x v="1"/>
    <x v="0"/>
    <x v="0"/>
    <x v="0"/>
    <n v="4"/>
  </r>
  <r>
    <n v="10.65"/>
    <n v="1.5"/>
    <x v="0"/>
    <x v="0"/>
    <x v="2"/>
    <x v="1"/>
    <n v="2"/>
  </r>
  <r>
    <n v="12.43"/>
    <n v="1.8"/>
    <x v="0"/>
    <x v="0"/>
    <x v="2"/>
    <x v="1"/>
    <n v="2"/>
  </r>
  <r>
    <n v="24.08"/>
    <n v="2.92"/>
    <x v="0"/>
    <x v="0"/>
    <x v="2"/>
    <x v="1"/>
    <n v="4"/>
  </r>
  <r>
    <n v="11.69"/>
    <n v="2.31"/>
    <x v="1"/>
    <x v="0"/>
    <x v="2"/>
    <x v="1"/>
    <n v="2"/>
  </r>
  <r>
    <n v="13.42"/>
    <n v="1.68"/>
    <x v="0"/>
    <x v="0"/>
    <x v="2"/>
    <x v="1"/>
    <n v="2"/>
  </r>
  <r>
    <n v="14.26"/>
    <n v="2.5"/>
    <x v="1"/>
    <x v="0"/>
    <x v="2"/>
    <x v="1"/>
    <n v="2"/>
  </r>
  <r>
    <n v="15.95"/>
    <n v="2"/>
    <x v="1"/>
    <x v="0"/>
    <x v="2"/>
    <x v="1"/>
    <n v="2"/>
  </r>
  <r>
    <n v="12.48"/>
    <n v="2.52"/>
    <x v="0"/>
    <x v="0"/>
    <x v="2"/>
    <x v="1"/>
    <n v="2"/>
  </r>
  <r>
    <n v="29.8"/>
    <n v="4.2"/>
    <x v="0"/>
    <x v="0"/>
    <x v="2"/>
    <x v="1"/>
    <n v="6"/>
  </r>
  <r>
    <n v="8.52"/>
    <n v="1.48"/>
    <x v="1"/>
    <x v="0"/>
    <x v="2"/>
    <x v="1"/>
    <n v="2"/>
  </r>
  <r>
    <n v="14.52"/>
    <n v="2"/>
    <x v="0"/>
    <x v="0"/>
    <x v="2"/>
    <x v="1"/>
    <n v="2"/>
  </r>
  <r>
    <n v="11.38"/>
    <n v="2"/>
    <x v="0"/>
    <x v="0"/>
    <x v="2"/>
    <x v="1"/>
    <n v="2"/>
  </r>
  <r>
    <n v="22.82"/>
    <n v="2.1800000000000002"/>
    <x v="1"/>
    <x v="0"/>
    <x v="2"/>
    <x v="1"/>
    <n v="3"/>
  </r>
  <r>
    <n v="19.079999999999998"/>
    <n v="1.5"/>
    <x v="1"/>
    <x v="0"/>
    <x v="2"/>
    <x v="1"/>
    <n v="2"/>
  </r>
  <r>
    <n v="20.27"/>
    <n v="2.83"/>
    <x v="0"/>
    <x v="0"/>
    <x v="2"/>
    <x v="1"/>
    <n v="2"/>
  </r>
  <r>
    <n v="11.17"/>
    <n v="1.5"/>
    <x v="0"/>
    <x v="0"/>
    <x v="2"/>
    <x v="1"/>
    <n v="2"/>
  </r>
  <r>
    <n v="12.26"/>
    <n v="2"/>
    <x v="0"/>
    <x v="0"/>
    <x v="2"/>
    <x v="1"/>
    <n v="2"/>
  </r>
  <r>
    <n v="18.260000000000002"/>
    <n v="3.25"/>
    <x v="0"/>
    <x v="0"/>
    <x v="2"/>
    <x v="1"/>
    <n v="2"/>
  </r>
  <r>
    <n v="8.51"/>
    <n v="1.25"/>
    <x v="0"/>
    <x v="0"/>
    <x v="2"/>
    <x v="1"/>
    <n v="2"/>
  </r>
  <r>
    <n v="10.33"/>
    <n v="2"/>
    <x v="0"/>
    <x v="0"/>
    <x v="2"/>
    <x v="1"/>
    <n v="2"/>
  </r>
  <r>
    <n v="14.15"/>
    <n v="2"/>
    <x v="0"/>
    <x v="0"/>
    <x v="2"/>
    <x v="1"/>
    <n v="2"/>
  </r>
  <r>
    <n v="16"/>
    <n v="2"/>
    <x v="1"/>
    <x v="1"/>
    <x v="2"/>
    <x v="1"/>
    <n v="2"/>
  </r>
  <r>
    <n v="13.16"/>
    <n v="2.75"/>
    <x v="0"/>
    <x v="0"/>
    <x v="2"/>
    <x v="1"/>
    <n v="2"/>
  </r>
  <r>
    <n v="17.47"/>
    <n v="3.5"/>
    <x v="0"/>
    <x v="0"/>
    <x v="2"/>
    <x v="1"/>
    <n v="2"/>
  </r>
  <r>
    <n v="34.299999999999997"/>
    <n v="6.7"/>
    <x v="1"/>
    <x v="0"/>
    <x v="2"/>
    <x v="1"/>
    <n v="6"/>
  </r>
  <r>
    <n v="41.19"/>
    <n v="5"/>
    <x v="1"/>
    <x v="0"/>
    <x v="2"/>
    <x v="1"/>
    <n v="5"/>
  </r>
  <r>
    <n v="27.05"/>
    <n v="5"/>
    <x v="0"/>
    <x v="0"/>
    <x v="2"/>
    <x v="1"/>
    <n v="6"/>
  </r>
  <r>
    <n v="16.43"/>
    <n v="2.2999999999999998"/>
    <x v="0"/>
    <x v="0"/>
    <x v="2"/>
    <x v="1"/>
    <n v="2"/>
  </r>
  <r>
    <n v="8.35"/>
    <n v="1.5"/>
    <x v="0"/>
    <x v="0"/>
    <x v="2"/>
    <x v="1"/>
    <n v="2"/>
  </r>
  <r>
    <n v="18.64"/>
    <n v="1.36"/>
    <x v="0"/>
    <x v="0"/>
    <x v="2"/>
    <x v="1"/>
    <n v="3"/>
  </r>
  <r>
    <n v="11.87"/>
    <n v="1.63"/>
    <x v="0"/>
    <x v="0"/>
    <x v="2"/>
    <x v="1"/>
    <n v="2"/>
  </r>
  <r>
    <n v="9.7799999999999994"/>
    <n v="1.73"/>
    <x v="1"/>
    <x v="0"/>
    <x v="2"/>
    <x v="1"/>
    <n v="2"/>
  </r>
  <r>
    <n v="7.51"/>
    <n v="2"/>
    <x v="1"/>
    <x v="0"/>
    <x v="2"/>
    <x v="1"/>
    <n v="2"/>
  </r>
  <r>
    <n v="14.07"/>
    <n v="2.5"/>
    <x v="1"/>
    <x v="0"/>
    <x v="0"/>
    <x v="0"/>
    <n v="2"/>
  </r>
  <r>
    <n v="13.13"/>
    <n v="2"/>
    <x v="1"/>
    <x v="0"/>
    <x v="0"/>
    <x v="0"/>
    <n v="2"/>
  </r>
  <r>
    <n v="17.260000000000002"/>
    <n v="2.74"/>
    <x v="1"/>
    <x v="0"/>
    <x v="0"/>
    <x v="0"/>
    <n v="3"/>
  </r>
  <r>
    <n v="24.55"/>
    <n v="2"/>
    <x v="1"/>
    <x v="0"/>
    <x v="0"/>
    <x v="0"/>
    <n v="4"/>
  </r>
  <r>
    <n v="19.77"/>
    <n v="2"/>
    <x v="1"/>
    <x v="0"/>
    <x v="0"/>
    <x v="0"/>
    <n v="4"/>
  </r>
  <r>
    <n v="29.85"/>
    <n v="5.14"/>
    <x v="0"/>
    <x v="0"/>
    <x v="0"/>
    <x v="0"/>
    <n v="5"/>
  </r>
  <r>
    <n v="48.17"/>
    <n v="5"/>
    <x v="1"/>
    <x v="0"/>
    <x v="0"/>
    <x v="0"/>
    <n v="6"/>
  </r>
  <r>
    <n v="25"/>
    <n v="3.75"/>
    <x v="0"/>
    <x v="0"/>
    <x v="0"/>
    <x v="0"/>
    <n v="4"/>
  </r>
  <r>
    <n v="13.39"/>
    <n v="2.61"/>
    <x v="0"/>
    <x v="0"/>
    <x v="0"/>
    <x v="0"/>
    <n v="2"/>
  </r>
  <r>
    <n v="16.489999999999998"/>
    <n v="2"/>
    <x v="1"/>
    <x v="0"/>
    <x v="0"/>
    <x v="0"/>
    <n v="4"/>
  </r>
  <r>
    <n v="21.5"/>
    <n v="3.5"/>
    <x v="1"/>
    <x v="0"/>
    <x v="0"/>
    <x v="0"/>
    <n v="4"/>
  </r>
  <r>
    <n v="12.66"/>
    <n v="2.5"/>
    <x v="1"/>
    <x v="0"/>
    <x v="0"/>
    <x v="0"/>
    <n v="2"/>
  </r>
  <r>
    <n v="16.21"/>
    <n v="2"/>
    <x v="0"/>
    <x v="0"/>
    <x v="0"/>
    <x v="0"/>
    <n v="3"/>
  </r>
  <r>
    <n v="13.81"/>
    <n v="2"/>
    <x v="1"/>
    <x v="0"/>
    <x v="0"/>
    <x v="0"/>
    <n v="2"/>
  </r>
  <r>
    <n v="17.510000000000002"/>
    <n v="3"/>
    <x v="0"/>
    <x v="1"/>
    <x v="0"/>
    <x v="0"/>
    <n v="2"/>
  </r>
  <r>
    <n v="24.52"/>
    <n v="3.48"/>
    <x v="1"/>
    <x v="0"/>
    <x v="0"/>
    <x v="0"/>
    <n v="3"/>
  </r>
  <r>
    <n v="20.76"/>
    <n v="2.2400000000000002"/>
    <x v="1"/>
    <x v="0"/>
    <x v="0"/>
    <x v="0"/>
    <n v="2"/>
  </r>
  <r>
    <n v="31.71"/>
    <n v="4.5"/>
    <x v="1"/>
    <x v="0"/>
    <x v="0"/>
    <x v="0"/>
    <n v="4"/>
  </r>
  <r>
    <n v="10.59"/>
    <n v="1.61"/>
    <x v="0"/>
    <x v="1"/>
    <x v="1"/>
    <x v="0"/>
    <n v="2"/>
  </r>
  <r>
    <n v="10.63"/>
    <n v="2"/>
    <x v="0"/>
    <x v="1"/>
    <x v="1"/>
    <x v="0"/>
    <n v="2"/>
  </r>
  <r>
    <n v="50.81"/>
    <n v="10"/>
    <x v="1"/>
    <x v="1"/>
    <x v="1"/>
    <x v="0"/>
    <n v="3"/>
  </r>
  <r>
    <n v="15.81"/>
    <n v="3.16"/>
    <x v="1"/>
    <x v="1"/>
    <x v="1"/>
    <x v="0"/>
    <n v="2"/>
  </r>
  <r>
    <n v="7.25"/>
    <n v="5.15"/>
    <x v="1"/>
    <x v="1"/>
    <x v="0"/>
    <x v="0"/>
    <n v="2"/>
  </r>
  <r>
    <n v="31.85"/>
    <n v="3.18"/>
    <x v="1"/>
    <x v="1"/>
    <x v="0"/>
    <x v="0"/>
    <n v="2"/>
  </r>
  <r>
    <n v="16.82"/>
    <n v="4"/>
    <x v="1"/>
    <x v="1"/>
    <x v="0"/>
    <x v="0"/>
    <n v="2"/>
  </r>
  <r>
    <n v="32.9"/>
    <n v="3.11"/>
    <x v="1"/>
    <x v="1"/>
    <x v="0"/>
    <x v="0"/>
    <n v="2"/>
  </r>
  <r>
    <n v="17.89"/>
    <n v="2"/>
    <x v="1"/>
    <x v="1"/>
    <x v="0"/>
    <x v="0"/>
    <n v="2"/>
  </r>
  <r>
    <n v="14.48"/>
    <n v="2"/>
    <x v="1"/>
    <x v="1"/>
    <x v="0"/>
    <x v="0"/>
    <n v="2"/>
  </r>
  <r>
    <n v="9.6"/>
    <n v="4"/>
    <x v="0"/>
    <x v="1"/>
    <x v="0"/>
    <x v="0"/>
    <n v="2"/>
  </r>
  <r>
    <n v="34.630000000000003"/>
    <n v="3.55"/>
    <x v="1"/>
    <x v="1"/>
    <x v="0"/>
    <x v="0"/>
    <n v="2"/>
  </r>
  <r>
    <n v="34.65"/>
    <n v="3.68"/>
    <x v="1"/>
    <x v="1"/>
    <x v="0"/>
    <x v="0"/>
    <n v="4"/>
  </r>
  <r>
    <n v="23.33"/>
    <n v="5.65"/>
    <x v="1"/>
    <x v="1"/>
    <x v="0"/>
    <x v="0"/>
    <n v="2"/>
  </r>
  <r>
    <n v="45.35"/>
    <n v="3.5"/>
    <x v="1"/>
    <x v="1"/>
    <x v="0"/>
    <x v="0"/>
    <n v="3"/>
  </r>
  <r>
    <n v="23.17"/>
    <n v="6.5"/>
    <x v="1"/>
    <x v="1"/>
    <x v="0"/>
    <x v="0"/>
    <n v="4"/>
  </r>
  <r>
    <n v="40.549999999999997"/>
    <n v="3"/>
    <x v="1"/>
    <x v="1"/>
    <x v="0"/>
    <x v="0"/>
    <n v="2"/>
  </r>
  <r>
    <n v="20.69"/>
    <n v="5"/>
    <x v="1"/>
    <x v="0"/>
    <x v="0"/>
    <x v="0"/>
    <n v="5"/>
  </r>
  <r>
    <n v="20.9"/>
    <n v="3.5"/>
    <x v="0"/>
    <x v="1"/>
    <x v="0"/>
    <x v="0"/>
    <n v="3"/>
  </r>
  <r>
    <n v="30.46"/>
    <n v="2"/>
    <x v="1"/>
    <x v="1"/>
    <x v="0"/>
    <x v="0"/>
    <n v="5"/>
  </r>
  <r>
    <n v="18.149999999999999"/>
    <n v="3.5"/>
    <x v="0"/>
    <x v="1"/>
    <x v="0"/>
    <x v="0"/>
    <n v="3"/>
  </r>
  <r>
    <n v="23.1"/>
    <n v="4"/>
    <x v="1"/>
    <x v="1"/>
    <x v="0"/>
    <x v="0"/>
    <n v="3"/>
  </r>
  <r>
    <n v="15.69"/>
    <n v="1.5"/>
    <x v="1"/>
    <x v="1"/>
    <x v="0"/>
    <x v="0"/>
    <n v="2"/>
  </r>
  <r>
    <n v="19.809999999999999"/>
    <n v="4.1900000000000004"/>
    <x v="0"/>
    <x v="1"/>
    <x v="2"/>
    <x v="1"/>
    <n v="2"/>
  </r>
  <r>
    <n v="28.44"/>
    <n v="2.56"/>
    <x v="1"/>
    <x v="1"/>
    <x v="2"/>
    <x v="1"/>
    <n v="2"/>
  </r>
  <r>
    <n v="15.48"/>
    <n v="2.02"/>
    <x v="1"/>
    <x v="1"/>
    <x v="2"/>
    <x v="1"/>
    <n v="2"/>
  </r>
  <r>
    <n v="16.579999999999998"/>
    <n v="4"/>
    <x v="1"/>
    <x v="1"/>
    <x v="2"/>
    <x v="1"/>
    <n v="2"/>
  </r>
  <r>
    <n v="7.56"/>
    <n v="1.44"/>
    <x v="1"/>
    <x v="0"/>
    <x v="2"/>
    <x v="1"/>
    <n v="2"/>
  </r>
  <r>
    <n v="10.34"/>
    <n v="2"/>
    <x v="1"/>
    <x v="1"/>
    <x v="2"/>
    <x v="1"/>
    <n v="2"/>
  </r>
  <r>
    <n v="43.11"/>
    <n v="5"/>
    <x v="0"/>
    <x v="1"/>
    <x v="2"/>
    <x v="1"/>
    <n v="4"/>
  </r>
  <r>
    <n v="13"/>
    <n v="2"/>
    <x v="0"/>
    <x v="1"/>
    <x v="2"/>
    <x v="1"/>
    <n v="2"/>
  </r>
  <r>
    <n v="13.51"/>
    <n v="2"/>
    <x v="1"/>
    <x v="1"/>
    <x v="2"/>
    <x v="1"/>
    <n v="2"/>
  </r>
  <r>
    <n v="18.71"/>
    <n v="4"/>
    <x v="1"/>
    <x v="1"/>
    <x v="2"/>
    <x v="1"/>
    <n v="3"/>
  </r>
  <r>
    <n v="12.74"/>
    <n v="2.0099999999999998"/>
    <x v="0"/>
    <x v="1"/>
    <x v="2"/>
    <x v="1"/>
    <n v="2"/>
  </r>
  <r>
    <n v="16.399999999999999"/>
    <n v="2.5"/>
    <x v="0"/>
    <x v="1"/>
    <x v="2"/>
    <x v="1"/>
    <n v="2"/>
  </r>
  <r>
    <n v="20.53"/>
    <n v="4"/>
    <x v="1"/>
    <x v="1"/>
    <x v="2"/>
    <x v="1"/>
    <n v="4"/>
  </r>
  <r>
    <n v="16.47"/>
    <n v="3.23"/>
    <x v="0"/>
    <x v="1"/>
    <x v="2"/>
    <x v="1"/>
    <n v="3"/>
  </r>
  <r>
    <n v="26.59"/>
    <n v="3.41"/>
    <x v="1"/>
    <x v="1"/>
    <x v="1"/>
    <x v="0"/>
    <n v="3"/>
  </r>
  <r>
    <n v="38.729999999999997"/>
    <n v="3"/>
    <x v="1"/>
    <x v="1"/>
    <x v="1"/>
    <x v="0"/>
    <n v="4"/>
  </r>
  <r>
    <n v="24.27"/>
    <n v="2.0299999999999998"/>
    <x v="1"/>
    <x v="1"/>
    <x v="1"/>
    <x v="0"/>
    <n v="2"/>
  </r>
  <r>
    <n v="12.76"/>
    <n v="2.23"/>
    <x v="0"/>
    <x v="1"/>
    <x v="1"/>
    <x v="0"/>
    <n v="2"/>
  </r>
  <r>
    <n v="30.06"/>
    <n v="2"/>
    <x v="1"/>
    <x v="1"/>
    <x v="1"/>
    <x v="0"/>
    <n v="3"/>
  </r>
  <r>
    <n v="25.89"/>
    <n v="5.16"/>
    <x v="1"/>
    <x v="1"/>
    <x v="1"/>
    <x v="0"/>
    <n v="4"/>
  </r>
  <r>
    <n v="48.33"/>
    <n v="9"/>
    <x v="1"/>
    <x v="0"/>
    <x v="1"/>
    <x v="0"/>
    <n v="4"/>
  </r>
  <r>
    <n v="13.27"/>
    <n v="2.5"/>
    <x v="0"/>
    <x v="1"/>
    <x v="1"/>
    <x v="0"/>
    <n v="2"/>
  </r>
  <r>
    <n v="28.17"/>
    <n v="6.5"/>
    <x v="0"/>
    <x v="1"/>
    <x v="1"/>
    <x v="0"/>
    <n v="3"/>
  </r>
  <r>
    <n v="12.9"/>
    <n v="1.1000000000000001"/>
    <x v="0"/>
    <x v="1"/>
    <x v="1"/>
    <x v="0"/>
    <n v="2"/>
  </r>
  <r>
    <n v="28.15"/>
    <n v="3"/>
    <x v="1"/>
    <x v="1"/>
    <x v="1"/>
    <x v="0"/>
    <n v="5"/>
  </r>
  <r>
    <n v="11.59"/>
    <n v="1.5"/>
    <x v="1"/>
    <x v="1"/>
    <x v="1"/>
    <x v="0"/>
    <n v="2"/>
  </r>
  <r>
    <n v="7.74"/>
    <n v="1.44"/>
    <x v="1"/>
    <x v="1"/>
    <x v="1"/>
    <x v="0"/>
    <n v="2"/>
  </r>
  <r>
    <n v="30.14"/>
    <n v="3.09"/>
    <x v="0"/>
    <x v="1"/>
    <x v="1"/>
    <x v="0"/>
    <n v="4"/>
  </r>
  <r>
    <n v="12.16"/>
    <n v="2.2000000000000002"/>
    <x v="1"/>
    <x v="1"/>
    <x v="3"/>
    <x v="1"/>
    <n v="2"/>
  </r>
  <r>
    <n v="13.42"/>
    <n v="3.48"/>
    <x v="0"/>
    <x v="1"/>
    <x v="3"/>
    <x v="1"/>
    <n v="2"/>
  </r>
  <r>
    <n v="8.58"/>
    <n v="1.92"/>
    <x v="1"/>
    <x v="1"/>
    <x v="3"/>
    <x v="1"/>
    <n v="1"/>
  </r>
  <r>
    <n v="15.98"/>
    <n v="3"/>
    <x v="0"/>
    <x v="0"/>
    <x v="3"/>
    <x v="1"/>
    <n v="3"/>
  </r>
  <r>
    <n v="13.42"/>
    <n v="1.58"/>
    <x v="1"/>
    <x v="1"/>
    <x v="3"/>
    <x v="1"/>
    <n v="2"/>
  </r>
  <r>
    <n v="16.27"/>
    <n v="2.5"/>
    <x v="0"/>
    <x v="1"/>
    <x v="3"/>
    <x v="1"/>
    <n v="2"/>
  </r>
  <r>
    <n v="10.09"/>
    <n v="2"/>
    <x v="0"/>
    <x v="1"/>
    <x v="3"/>
    <x v="1"/>
    <n v="2"/>
  </r>
  <r>
    <n v="20.45"/>
    <n v="3"/>
    <x v="1"/>
    <x v="0"/>
    <x v="1"/>
    <x v="0"/>
    <n v="4"/>
  </r>
  <r>
    <n v="13.28"/>
    <n v="2.72"/>
    <x v="1"/>
    <x v="0"/>
    <x v="1"/>
    <x v="0"/>
    <n v="2"/>
  </r>
  <r>
    <n v="22.12"/>
    <n v="2.88"/>
    <x v="0"/>
    <x v="1"/>
    <x v="1"/>
    <x v="0"/>
    <n v="2"/>
  </r>
  <r>
    <n v="24.01"/>
    <n v="2"/>
    <x v="1"/>
    <x v="1"/>
    <x v="1"/>
    <x v="0"/>
    <n v="4"/>
  </r>
  <r>
    <n v="15.69"/>
    <n v="3"/>
    <x v="1"/>
    <x v="1"/>
    <x v="1"/>
    <x v="0"/>
    <n v="3"/>
  </r>
  <r>
    <n v="11.61"/>
    <n v="3.39"/>
    <x v="1"/>
    <x v="0"/>
    <x v="1"/>
    <x v="0"/>
    <n v="2"/>
  </r>
  <r>
    <n v="10.77"/>
    <n v="1.47"/>
    <x v="1"/>
    <x v="0"/>
    <x v="1"/>
    <x v="0"/>
    <n v="2"/>
  </r>
  <r>
    <n v="15.53"/>
    <n v="3"/>
    <x v="1"/>
    <x v="1"/>
    <x v="1"/>
    <x v="0"/>
    <n v="2"/>
  </r>
  <r>
    <n v="10.07"/>
    <n v="1.25"/>
    <x v="1"/>
    <x v="0"/>
    <x v="1"/>
    <x v="0"/>
    <n v="2"/>
  </r>
  <r>
    <n v="12.6"/>
    <n v="1"/>
    <x v="1"/>
    <x v="1"/>
    <x v="1"/>
    <x v="0"/>
    <n v="2"/>
  </r>
  <r>
    <n v="32.83"/>
    <n v="1.17"/>
    <x v="1"/>
    <x v="1"/>
    <x v="1"/>
    <x v="0"/>
    <n v="2"/>
  </r>
  <r>
    <n v="35.83"/>
    <n v="4.67"/>
    <x v="0"/>
    <x v="0"/>
    <x v="1"/>
    <x v="0"/>
    <n v="3"/>
  </r>
  <r>
    <n v="29.03"/>
    <n v="5.92"/>
    <x v="1"/>
    <x v="0"/>
    <x v="1"/>
    <x v="0"/>
    <n v="3"/>
  </r>
  <r>
    <n v="27.18"/>
    <n v="2"/>
    <x v="0"/>
    <x v="1"/>
    <x v="1"/>
    <x v="0"/>
    <n v="2"/>
  </r>
  <r>
    <n v="22.67"/>
    <n v="2"/>
    <x v="1"/>
    <x v="1"/>
    <x v="1"/>
    <x v="0"/>
    <n v="2"/>
  </r>
  <r>
    <n v="17.82"/>
    <n v="1.75"/>
    <x v="1"/>
    <x v="0"/>
    <x v="1"/>
    <x v="0"/>
    <n v="2"/>
  </r>
  <r>
    <n v="18.78"/>
    <n v="3"/>
    <x v="0"/>
    <x v="0"/>
    <x v="2"/>
    <x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B2051C-10E8-4917-83F6-C3F5BCCD158A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G46" firstHeaderRow="0" firstDataRow="1" firstDataCol="1"/>
  <pivotFields count="7">
    <pivotField showAll="0"/>
    <pivotField showAll="0"/>
    <pivotField axis="axisRow" dataField="1" showAll="0">
      <items count="3">
        <item x="0"/>
        <item x="1"/>
        <item t="default"/>
      </items>
    </pivotField>
    <pivotField axis="axisRow" dataField="1" showAll="0">
      <items count="3">
        <item x="0"/>
        <item x="1"/>
        <item t="default"/>
      </items>
    </pivotField>
    <pivotField axis="axisRow" dataField="1" showAll="0">
      <items count="5">
        <item x="0"/>
        <item x="3"/>
        <item x="1"/>
        <item x="2"/>
        <item t="default"/>
      </items>
    </pivotField>
    <pivotField axis="axisRow" dataField="1" showAll="0">
      <items count="3">
        <item x="0"/>
        <item x="1"/>
        <item t="default"/>
      </items>
    </pivotField>
    <pivotField dataField="1" showAll="0"/>
  </pivotFields>
  <rowFields count="4">
    <field x="2"/>
    <field x="3"/>
    <field x="4"/>
    <field x="5"/>
  </rowFields>
  <rowItems count="43">
    <i>
      <x/>
    </i>
    <i r="1">
      <x/>
    </i>
    <i r="2">
      <x/>
    </i>
    <i r="3">
      <x/>
    </i>
    <i r="2">
      <x v="1"/>
    </i>
    <i r="3">
      <x/>
    </i>
    <i r="3">
      <x v="1"/>
    </i>
    <i r="2">
      <x v="2"/>
    </i>
    <i r="3">
      <x/>
    </i>
    <i r="2">
      <x v="3"/>
    </i>
    <i r="3">
      <x/>
    </i>
    <i r="3">
      <x v="1"/>
    </i>
    <i r="1">
      <x v="1"/>
    </i>
    <i r="2">
      <x/>
    </i>
    <i r="3">
      <x/>
    </i>
    <i r="2">
      <x v="1"/>
    </i>
    <i r="3">
      <x/>
    </i>
    <i r="3">
      <x v="1"/>
    </i>
    <i r="2">
      <x v="2"/>
    </i>
    <i r="3">
      <x/>
    </i>
    <i r="2">
      <x v="3"/>
    </i>
    <i r="3">
      <x v="1"/>
    </i>
    <i>
      <x v="1"/>
    </i>
    <i r="1">
      <x/>
    </i>
    <i r="2">
      <x/>
    </i>
    <i r="3">
      <x/>
    </i>
    <i r="2">
      <x v="1"/>
    </i>
    <i r="3">
      <x/>
    </i>
    <i r="2">
      <x v="2"/>
    </i>
    <i r="3">
      <x/>
    </i>
    <i r="2">
      <x v="3"/>
    </i>
    <i r="3">
      <x v="1"/>
    </i>
    <i r="1">
      <x v="1"/>
    </i>
    <i r="2">
      <x/>
    </i>
    <i r="3">
      <x/>
    </i>
    <i r="2">
      <x v="1"/>
    </i>
    <i r="3">
      <x/>
    </i>
    <i r="3">
      <x v="1"/>
    </i>
    <i r="2">
      <x v="2"/>
    </i>
    <i r="3">
      <x/>
    </i>
    <i r="2">
      <x v="3"/>
    </i>
    <i r="3"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size" fld="6" baseField="0" baseItem="0"/>
    <dataField name="Count of smoker" fld="3" subtotal="count" baseField="0" baseItem="0"/>
    <dataField name="Count of time" fld="5" subtotal="count" baseField="0" baseItem="0"/>
    <dataField name="Sum of size2" fld="6" baseField="0" baseItem="0"/>
    <dataField name="Count of sex" fld="2" subtotal="count" baseField="0" baseItem="0"/>
    <dataField name="Count of day" fld="4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04D40-0395-47CA-84A1-9FB044918AE7}">
  <dimension ref="A3:G46"/>
  <sheetViews>
    <sheetView topLeftCell="A28" workbookViewId="0">
      <selection activeCell="L22" sqref="L22"/>
    </sheetView>
  </sheetViews>
  <sheetFormatPr defaultRowHeight="13.2" x14ac:dyDescent="0.25"/>
  <cols>
    <col min="1" max="1" width="19.109375" customWidth="1"/>
    <col min="2" max="2" width="11.109375" bestFit="1" customWidth="1"/>
    <col min="3" max="3" width="15.6640625" bestFit="1" customWidth="1"/>
    <col min="4" max="4" width="12.77734375" bestFit="1" customWidth="1"/>
    <col min="5" max="6" width="12.109375" bestFit="1" customWidth="1"/>
    <col min="7" max="7" width="12.21875" bestFit="1" customWidth="1"/>
    <col min="8" max="8" width="16.6640625" bestFit="1" customWidth="1"/>
  </cols>
  <sheetData>
    <row r="3" spans="1:7" x14ac:dyDescent="0.25">
      <c r="A3" s="3" t="s">
        <v>17</v>
      </c>
      <c r="B3" t="s">
        <v>19</v>
      </c>
      <c r="C3" t="s">
        <v>22</v>
      </c>
      <c r="D3" t="s">
        <v>24</v>
      </c>
      <c r="E3" t="s">
        <v>20</v>
      </c>
      <c r="F3" t="s">
        <v>23</v>
      </c>
      <c r="G3" t="s">
        <v>21</v>
      </c>
    </row>
    <row r="4" spans="1:7" x14ac:dyDescent="0.25">
      <c r="A4" s="4" t="s">
        <v>7</v>
      </c>
      <c r="B4" s="2">
        <v>212</v>
      </c>
      <c r="C4" s="2">
        <v>86</v>
      </c>
      <c r="D4" s="2">
        <v>86</v>
      </c>
      <c r="E4" s="2">
        <v>212</v>
      </c>
      <c r="F4" s="2">
        <v>86</v>
      </c>
      <c r="G4" s="2">
        <v>86</v>
      </c>
    </row>
    <row r="5" spans="1:7" x14ac:dyDescent="0.25">
      <c r="A5" s="5" t="s">
        <v>8</v>
      </c>
      <c r="B5" s="2">
        <v>140</v>
      </c>
      <c r="C5" s="2">
        <v>54</v>
      </c>
      <c r="D5" s="2">
        <v>54</v>
      </c>
      <c r="E5" s="2">
        <v>140</v>
      </c>
      <c r="F5" s="2">
        <v>54</v>
      </c>
      <c r="G5" s="2">
        <v>54</v>
      </c>
    </row>
    <row r="6" spans="1:7" x14ac:dyDescent="0.25">
      <c r="A6" s="6" t="s">
        <v>9</v>
      </c>
      <c r="B6" s="2">
        <v>43</v>
      </c>
      <c r="C6" s="2">
        <v>14</v>
      </c>
      <c r="D6" s="2">
        <v>14</v>
      </c>
      <c r="E6" s="2">
        <v>43</v>
      </c>
      <c r="F6" s="2">
        <v>14</v>
      </c>
      <c r="G6" s="2">
        <v>14</v>
      </c>
    </row>
    <row r="7" spans="1:7" x14ac:dyDescent="0.25">
      <c r="A7" s="7" t="s">
        <v>10</v>
      </c>
      <c r="B7" s="2">
        <v>43</v>
      </c>
      <c r="C7" s="2">
        <v>14</v>
      </c>
      <c r="D7" s="2">
        <v>14</v>
      </c>
      <c r="E7" s="2">
        <v>43</v>
      </c>
      <c r="F7" s="2">
        <v>14</v>
      </c>
      <c r="G7" s="2">
        <v>14</v>
      </c>
    </row>
    <row r="8" spans="1:7" x14ac:dyDescent="0.25">
      <c r="A8" s="6" t="s">
        <v>16</v>
      </c>
      <c r="B8" s="2">
        <v>5</v>
      </c>
      <c r="C8" s="2">
        <v>2</v>
      </c>
      <c r="D8" s="2">
        <v>2</v>
      </c>
      <c r="E8" s="2">
        <v>5</v>
      </c>
      <c r="F8" s="2">
        <v>2</v>
      </c>
      <c r="G8" s="2">
        <v>2</v>
      </c>
    </row>
    <row r="9" spans="1:7" x14ac:dyDescent="0.25">
      <c r="A9" s="7" t="s">
        <v>10</v>
      </c>
      <c r="B9" s="2">
        <v>2</v>
      </c>
      <c r="C9" s="2">
        <v>1</v>
      </c>
      <c r="D9" s="2">
        <v>1</v>
      </c>
      <c r="E9" s="2">
        <v>2</v>
      </c>
      <c r="F9" s="2">
        <v>1</v>
      </c>
      <c r="G9" s="2">
        <v>1</v>
      </c>
    </row>
    <row r="10" spans="1:7" x14ac:dyDescent="0.25">
      <c r="A10" s="7" t="s">
        <v>15</v>
      </c>
      <c r="B10" s="2">
        <v>3</v>
      </c>
      <c r="C10" s="2">
        <v>1</v>
      </c>
      <c r="D10" s="2">
        <v>1</v>
      </c>
      <c r="E10" s="2">
        <v>3</v>
      </c>
      <c r="F10" s="2">
        <v>1</v>
      </c>
      <c r="G10" s="2">
        <v>1</v>
      </c>
    </row>
    <row r="11" spans="1:7" x14ac:dyDescent="0.25">
      <c r="A11" s="6" t="s">
        <v>12</v>
      </c>
      <c r="B11" s="2">
        <v>30</v>
      </c>
      <c r="C11" s="2">
        <v>13</v>
      </c>
      <c r="D11" s="2">
        <v>13</v>
      </c>
      <c r="E11" s="2">
        <v>30</v>
      </c>
      <c r="F11" s="2">
        <v>13</v>
      </c>
      <c r="G11" s="2">
        <v>13</v>
      </c>
    </row>
    <row r="12" spans="1:7" x14ac:dyDescent="0.25">
      <c r="A12" s="7" t="s">
        <v>10</v>
      </c>
      <c r="B12" s="2">
        <v>30</v>
      </c>
      <c r="C12" s="2">
        <v>13</v>
      </c>
      <c r="D12" s="2">
        <v>13</v>
      </c>
      <c r="E12" s="2">
        <v>30</v>
      </c>
      <c r="F12" s="2">
        <v>13</v>
      </c>
      <c r="G12" s="2">
        <v>13</v>
      </c>
    </row>
    <row r="13" spans="1:7" x14ac:dyDescent="0.25">
      <c r="A13" s="6" t="s">
        <v>14</v>
      </c>
      <c r="B13" s="2">
        <v>62</v>
      </c>
      <c r="C13" s="2">
        <v>25</v>
      </c>
      <c r="D13" s="2">
        <v>25</v>
      </c>
      <c r="E13" s="2">
        <v>62</v>
      </c>
      <c r="F13" s="2">
        <v>25</v>
      </c>
      <c r="G13" s="2">
        <v>25</v>
      </c>
    </row>
    <row r="14" spans="1:7" x14ac:dyDescent="0.25">
      <c r="A14" s="7" t="s">
        <v>10</v>
      </c>
      <c r="B14" s="2">
        <v>2</v>
      </c>
      <c r="C14" s="2">
        <v>1</v>
      </c>
      <c r="D14" s="2">
        <v>1</v>
      </c>
      <c r="E14" s="2">
        <v>2</v>
      </c>
      <c r="F14" s="2">
        <v>1</v>
      </c>
      <c r="G14" s="2">
        <v>1</v>
      </c>
    </row>
    <row r="15" spans="1:7" x14ac:dyDescent="0.25">
      <c r="A15" s="7" t="s">
        <v>15</v>
      </c>
      <c r="B15" s="2">
        <v>60</v>
      </c>
      <c r="C15" s="2">
        <v>24</v>
      </c>
      <c r="D15" s="2">
        <v>24</v>
      </c>
      <c r="E15" s="2">
        <v>60</v>
      </c>
      <c r="F15" s="2">
        <v>24</v>
      </c>
      <c r="G15" s="2">
        <v>24</v>
      </c>
    </row>
    <row r="16" spans="1:7" x14ac:dyDescent="0.25">
      <c r="A16" s="5" t="s">
        <v>13</v>
      </c>
      <c r="B16" s="2">
        <v>72</v>
      </c>
      <c r="C16" s="2">
        <v>32</v>
      </c>
      <c r="D16" s="2">
        <v>32</v>
      </c>
      <c r="E16" s="2">
        <v>72</v>
      </c>
      <c r="F16" s="2">
        <v>32</v>
      </c>
      <c r="G16" s="2">
        <v>32</v>
      </c>
    </row>
    <row r="17" spans="1:7" x14ac:dyDescent="0.25">
      <c r="A17" s="6" t="s">
        <v>9</v>
      </c>
      <c r="B17" s="2">
        <v>10</v>
      </c>
      <c r="C17" s="2">
        <v>4</v>
      </c>
      <c r="D17" s="2">
        <v>4</v>
      </c>
      <c r="E17" s="2">
        <v>10</v>
      </c>
      <c r="F17" s="2">
        <v>4</v>
      </c>
      <c r="G17" s="2">
        <v>4</v>
      </c>
    </row>
    <row r="18" spans="1:7" x14ac:dyDescent="0.25">
      <c r="A18" s="7" t="s">
        <v>10</v>
      </c>
      <c r="B18" s="2">
        <v>10</v>
      </c>
      <c r="C18" s="2">
        <v>4</v>
      </c>
      <c r="D18" s="2">
        <v>4</v>
      </c>
      <c r="E18" s="2">
        <v>10</v>
      </c>
      <c r="F18" s="2">
        <v>4</v>
      </c>
      <c r="G18" s="2">
        <v>4</v>
      </c>
    </row>
    <row r="19" spans="1:7" x14ac:dyDescent="0.25">
      <c r="A19" s="6" t="s">
        <v>16</v>
      </c>
      <c r="B19" s="2">
        <v>14</v>
      </c>
      <c r="C19" s="2">
        <v>7</v>
      </c>
      <c r="D19" s="2">
        <v>7</v>
      </c>
      <c r="E19" s="2">
        <v>14</v>
      </c>
      <c r="F19" s="2">
        <v>7</v>
      </c>
      <c r="G19" s="2">
        <v>7</v>
      </c>
    </row>
    <row r="20" spans="1:7" x14ac:dyDescent="0.25">
      <c r="A20" s="7" t="s">
        <v>10</v>
      </c>
      <c r="B20" s="2">
        <v>8</v>
      </c>
      <c r="C20" s="2">
        <v>4</v>
      </c>
      <c r="D20" s="2">
        <v>4</v>
      </c>
      <c r="E20" s="2">
        <v>8</v>
      </c>
      <c r="F20" s="2">
        <v>4</v>
      </c>
      <c r="G20" s="2">
        <v>4</v>
      </c>
    </row>
    <row r="21" spans="1:7" x14ac:dyDescent="0.25">
      <c r="A21" s="7" t="s">
        <v>15</v>
      </c>
      <c r="B21" s="2">
        <v>6</v>
      </c>
      <c r="C21" s="2">
        <v>3</v>
      </c>
      <c r="D21" s="2">
        <v>3</v>
      </c>
      <c r="E21" s="2">
        <v>6</v>
      </c>
      <c r="F21" s="2">
        <v>3</v>
      </c>
      <c r="G21" s="2">
        <v>3</v>
      </c>
    </row>
    <row r="22" spans="1:7" x14ac:dyDescent="0.25">
      <c r="A22" s="6" t="s">
        <v>12</v>
      </c>
      <c r="B22" s="2">
        <v>33</v>
      </c>
      <c r="C22" s="2">
        <v>15</v>
      </c>
      <c r="D22" s="2">
        <v>15</v>
      </c>
      <c r="E22" s="2">
        <v>33</v>
      </c>
      <c r="F22" s="2">
        <v>15</v>
      </c>
      <c r="G22" s="2">
        <v>15</v>
      </c>
    </row>
    <row r="23" spans="1:7" x14ac:dyDescent="0.25">
      <c r="A23" s="7" t="s">
        <v>10</v>
      </c>
      <c r="B23" s="2">
        <v>33</v>
      </c>
      <c r="C23" s="2">
        <v>15</v>
      </c>
      <c r="D23" s="2">
        <v>15</v>
      </c>
      <c r="E23" s="2">
        <v>33</v>
      </c>
      <c r="F23" s="2">
        <v>15</v>
      </c>
      <c r="G23" s="2">
        <v>15</v>
      </c>
    </row>
    <row r="24" spans="1:7" x14ac:dyDescent="0.25">
      <c r="A24" s="6" t="s">
        <v>14</v>
      </c>
      <c r="B24" s="2">
        <v>15</v>
      </c>
      <c r="C24" s="2">
        <v>6</v>
      </c>
      <c r="D24" s="2">
        <v>6</v>
      </c>
      <c r="E24" s="2">
        <v>15</v>
      </c>
      <c r="F24" s="2">
        <v>6</v>
      </c>
      <c r="G24" s="2">
        <v>6</v>
      </c>
    </row>
    <row r="25" spans="1:7" x14ac:dyDescent="0.25">
      <c r="A25" s="7" t="s">
        <v>15</v>
      </c>
      <c r="B25" s="2">
        <v>15</v>
      </c>
      <c r="C25" s="2">
        <v>6</v>
      </c>
      <c r="D25" s="2">
        <v>6</v>
      </c>
      <c r="E25" s="2">
        <v>15</v>
      </c>
      <c r="F25" s="2">
        <v>6</v>
      </c>
      <c r="G25" s="2">
        <v>6</v>
      </c>
    </row>
    <row r="26" spans="1:7" x14ac:dyDescent="0.25">
      <c r="A26" s="4" t="s">
        <v>11</v>
      </c>
      <c r="B26" s="2">
        <v>413</v>
      </c>
      <c r="C26" s="2">
        <v>157</v>
      </c>
      <c r="D26" s="2">
        <v>157</v>
      </c>
      <c r="E26" s="2">
        <v>413</v>
      </c>
      <c r="F26" s="2">
        <v>157</v>
      </c>
      <c r="G26" s="2">
        <v>157</v>
      </c>
    </row>
    <row r="27" spans="1:7" x14ac:dyDescent="0.25">
      <c r="A27" s="5" t="s">
        <v>8</v>
      </c>
      <c r="B27" s="2">
        <v>263</v>
      </c>
      <c r="C27" s="2">
        <v>97</v>
      </c>
      <c r="D27" s="2">
        <v>97</v>
      </c>
      <c r="E27" s="2">
        <v>263</v>
      </c>
      <c r="F27" s="2">
        <v>97</v>
      </c>
      <c r="G27" s="2">
        <v>97</v>
      </c>
    </row>
    <row r="28" spans="1:7" x14ac:dyDescent="0.25">
      <c r="A28" s="6" t="s">
        <v>9</v>
      </c>
      <c r="B28" s="2">
        <v>124</v>
      </c>
      <c r="C28" s="2">
        <v>43</v>
      </c>
      <c r="D28" s="2">
        <v>43</v>
      </c>
      <c r="E28" s="2">
        <v>124</v>
      </c>
      <c r="F28" s="2">
        <v>43</v>
      </c>
      <c r="G28" s="2">
        <v>43</v>
      </c>
    </row>
    <row r="29" spans="1:7" x14ac:dyDescent="0.25">
      <c r="A29" s="7" t="s">
        <v>10</v>
      </c>
      <c r="B29" s="2">
        <v>124</v>
      </c>
      <c r="C29" s="2">
        <v>43</v>
      </c>
      <c r="D29" s="2">
        <v>43</v>
      </c>
      <c r="E29" s="2">
        <v>124</v>
      </c>
      <c r="F29" s="2">
        <v>43</v>
      </c>
      <c r="G29" s="2">
        <v>43</v>
      </c>
    </row>
    <row r="30" spans="1:7" x14ac:dyDescent="0.25">
      <c r="A30" s="6" t="s">
        <v>16</v>
      </c>
      <c r="B30" s="2">
        <v>4</v>
      </c>
      <c r="C30" s="2">
        <v>2</v>
      </c>
      <c r="D30" s="2">
        <v>2</v>
      </c>
      <c r="E30" s="2">
        <v>4</v>
      </c>
      <c r="F30" s="2">
        <v>2</v>
      </c>
      <c r="G30" s="2">
        <v>2</v>
      </c>
    </row>
    <row r="31" spans="1:7" x14ac:dyDescent="0.25">
      <c r="A31" s="7" t="s">
        <v>10</v>
      </c>
      <c r="B31" s="2">
        <v>4</v>
      </c>
      <c r="C31" s="2">
        <v>2</v>
      </c>
      <c r="D31" s="2">
        <v>2</v>
      </c>
      <c r="E31" s="2">
        <v>4</v>
      </c>
      <c r="F31" s="2">
        <v>2</v>
      </c>
      <c r="G31" s="2">
        <v>2</v>
      </c>
    </row>
    <row r="32" spans="1:7" x14ac:dyDescent="0.25">
      <c r="A32" s="6" t="s">
        <v>12</v>
      </c>
      <c r="B32" s="2">
        <v>85</v>
      </c>
      <c r="C32" s="2">
        <v>32</v>
      </c>
      <c r="D32" s="2">
        <v>32</v>
      </c>
      <c r="E32" s="2">
        <v>85</v>
      </c>
      <c r="F32" s="2">
        <v>32</v>
      </c>
      <c r="G32" s="2">
        <v>32</v>
      </c>
    </row>
    <row r="33" spans="1:7" x14ac:dyDescent="0.25">
      <c r="A33" s="7" t="s">
        <v>10</v>
      </c>
      <c r="B33" s="2">
        <v>85</v>
      </c>
      <c r="C33" s="2">
        <v>32</v>
      </c>
      <c r="D33" s="2">
        <v>32</v>
      </c>
      <c r="E33" s="2">
        <v>85</v>
      </c>
      <c r="F33" s="2">
        <v>32</v>
      </c>
      <c r="G33" s="2">
        <v>32</v>
      </c>
    </row>
    <row r="34" spans="1:7" x14ac:dyDescent="0.25">
      <c r="A34" s="6" t="s">
        <v>14</v>
      </c>
      <c r="B34" s="2">
        <v>50</v>
      </c>
      <c r="C34" s="2">
        <v>20</v>
      </c>
      <c r="D34" s="2">
        <v>20</v>
      </c>
      <c r="E34" s="2">
        <v>50</v>
      </c>
      <c r="F34" s="2">
        <v>20</v>
      </c>
      <c r="G34" s="2">
        <v>20</v>
      </c>
    </row>
    <row r="35" spans="1:7" x14ac:dyDescent="0.25">
      <c r="A35" s="7" t="s">
        <v>15</v>
      </c>
      <c r="B35" s="2">
        <v>50</v>
      </c>
      <c r="C35" s="2">
        <v>20</v>
      </c>
      <c r="D35" s="2">
        <v>20</v>
      </c>
      <c r="E35" s="2">
        <v>50</v>
      </c>
      <c r="F35" s="2">
        <v>20</v>
      </c>
      <c r="G35" s="2">
        <v>20</v>
      </c>
    </row>
    <row r="36" spans="1:7" x14ac:dyDescent="0.25">
      <c r="A36" s="5" t="s">
        <v>13</v>
      </c>
      <c r="B36" s="2">
        <v>150</v>
      </c>
      <c r="C36" s="2">
        <v>60</v>
      </c>
      <c r="D36" s="2">
        <v>60</v>
      </c>
      <c r="E36" s="2">
        <v>150</v>
      </c>
      <c r="F36" s="2">
        <v>60</v>
      </c>
      <c r="G36" s="2">
        <v>60</v>
      </c>
    </row>
    <row r="37" spans="1:7" x14ac:dyDescent="0.25">
      <c r="A37" s="6" t="s">
        <v>9</v>
      </c>
      <c r="B37" s="2">
        <v>39</v>
      </c>
      <c r="C37" s="2">
        <v>15</v>
      </c>
      <c r="D37" s="2">
        <v>15</v>
      </c>
      <c r="E37" s="2">
        <v>39</v>
      </c>
      <c r="F37" s="2">
        <v>15</v>
      </c>
      <c r="G37" s="2">
        <v>15</v>
      </c>
    </row>
    <row r="38" spans="1:7" x14ac:dyDescent="0.25">
      <c r="A38" s="7" t="s">
        <v>10</v>
      </c>
      <c r="B38" s="2">
        <v>39</v>
      </c>
      <c r="C38" s="2">
        <v>15</v>
      </c>
      <c r="D38" s="2">
        <v>15</v>
      </c>
      <c r="E38" s="2">
        <v>39</v>
      </c>
      <c r="F38" s="2">
        <v>15</v>
      </c>
      <c r="G38" s="2">
        <v>15</v>
      </c>
    </row>
    <row r="39" spans="1:7" x14ac:dyDescent="0.25">
      <c r="A39" s="6" t="s">
        <v>16</v>
      </c>
      <c r="B39" s="2">
        <v>17</v>
      </c>
      <c r="C39" s="2">
        <v>8</v>
      </c>
      <c r="D39" s="2">
        <v>8</v>
      </c>
      <c r="E39" s="2">
        <v>17</v>
      </c>
      <c r="F39" s="2">
        <v>8</v>
      </c>
      <c r="G39" s="2">
        <v>8</v>
      </c>
    </row>
    <row r="40" spans="1:7" x14ac:dyDescent="0.25">
      <c r="A40" s="7" t="s">
        <v>10</v>
      </c>
      <c r="B40" s="2">
        <v>12</v>
      </c>
      <c r="C40" s="2">
        <v>5</v>
      </c>
      <c r="D40" s="2">
        <v>5</v>
      </c>
      <c r="E40" s="2">
        <v>12</v>
      </c>
      <c r="F40" s="2">
        <v>5</v>
      </c>
      <c r="G40" s="2">
        <v>5</v>
      </c>
    </row>
    <row r="41" spans="1:7" x14ac:dyDescent="0.25">
      <c r="A41" s="7" t="s">
        <v>15</v>
      </c>
      <c r="B41" s="2">
        <v>5</v>
      </c>
      <c r="C41" s="2">
        <v>3</v>
      </c>
      <c r="D41" s="2">
        <v>3</v>
      </c>
      <c r="E41" s="2">
        <v>5</v>
      </c>
      <c r="F41" s="2">
        <v>3</v>
      </c>
      <c r="G41" s="2">
        <v>3</v>
      </c>
    </row>
    <row r="42" spans="1:7" x14ac:dyDescent="0.25">
      <c r="A42" s="6" t="s">
        <v>12</v>
      </c>
      <c r="B42" s="2">
        <v>71</v>
      </c>
      <c r="C42" s="2">
        <v>27</v>
      </c>
      <c r="D42" s="2">
        <v>27</v>
      </c>
      <c r="E42" s="2">
        <v>71</v>
      </c>
      <c r="F42" s="2">
        <v>27</v>
      </c>
      <c r="G42" s="2">
        <v>27</v>
      </c>
    </row>
    <row r="43" spans="1:7" x14ac:dyDescent="0.25">
      <c r="A43" s="7" t="s">
        <v>10</v>
      </c>
      <c r="B43" s="2">
        <v>71</v>
      </c>
      <c r="C43" s="2">
        <v>27</v>
      </c>
      <c r="D43" s="2">
        <v>27</v>
      </c>
      <c r="E43" s="2">
        <v>71</v>
      </c>
      <c r="F43" s="2">
        <v>27</v>
      </c>
      <c r="G43" s="2">
        <v>27</v>
      </c>
    </row>
    <row r="44" spans="1:7" x14ac:dyDescent="0.25">
      <c r="A44" s="6" t="s">
        <v>14</v>
      </c>
      <c r="B44" s="2">
        <v>23</v>
      </c>
      <c r="C44" s="2">
        <v>10</v>
      </c>
      <c r="D44" s="2">
        <v>10</v>
      </c>
      <c r="E44" s="2">
        <v>23</v>
      </c>
      <c r="F44" s="2">
        <v>10</v>
      </c>
      <c r="G44" s="2">
        <v>10</v>
      </c>
    </row>
    <row r="45" spans="1:7" x14ac:dyDescent="0.25">
      <c r="A45" s="7" t="s">
        <v>15</v>
      </c>
      <c r="B45" s="2">
        <v>23</v>
      </c>
      <c r="C45" s="2">
        <v>10</v>
      </c>
      <c r="D45" s="2">
        <v>10</v>
      </c>
      <c r="E45" s="2">
        <v>23</v>
      </c>
      <c r="F45" s="2">
        <v>10</v>
      </c>
      <c r="G45" s="2">
        <v>10</v>
      </c>
    </row>
    <row r="46" spans="1:7" x14ac:dyDescent="0.25">
      <c r="A46" s="4" t="s">
        <v>18</v>
      </c>
      <c r="B46" s="2">
        <v>625</v>
      </c>
      <c r="C46" s="2">
        <v>243</v>
      </c>
      <c r="D46" s="2">
        <v>243</v>
      </c>
      <c r="E46" s="2">
        <v>625</v>
      </c>
      <c r="F46" s="2">
        <v>243</v>
      </c>
      <c r="G46" s="2">
        <v>243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44"/>
  <sheetViews>
    <sheetView tabSelected="1" topLeftCell="F1" zoomScale="131" workbookViewId="0">
      <selection activeCell="H16" sqref="H16"/>
    </sheetView>
  </sheetViews>
  <sheetFormatPr defaultColWidth="12.6640625" defaultRowHeight="15.75" customHeight="1" x14ac:dyDescent="0.25"/>
  <cols>
    <col min="7" max="7" width="16.33203125" customWidth="1"/>
    <col min="8" max="8" width="22.77734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 x14ac:dyDescent="0.25">
      <c r="A2" s="1">
        <v>16.989999999999998</v>
      </c>
      <c r="B2" s="1">
        <v>1.01</v>
      </c>
      <c r="C2" s="1" t="s">
        <v>7</v>
      </c>
      <c r="D2" s="1" t="s">
        <v>8</v>
      </c>
      <c r="E2" s="1" t="s">
        <v>9</v>
      </c>
      <c r="F2" s="1" t="s">
        <v>10</v>
      </c>
      <c r="G2" s="1">
        <v>2</v>
      </c>
      <c r="H2" s="1" t="s">
        <v>25</v>
      </c>
      <c r="I2">
        <f>AVERAGE(A2:A245)</f>
        <v>19.813868312757208</v>
      </c>
    </row>
    <row r="3" spans="1:9" x14ac:dyDescent="0.25">
      <c r="A3" s="1">
        <v>10.34</v>
      </c>
      <c r="B3" s="1">
        <v>1.66</v>
      </c>
      <c r="C3" s="1" t="s">
        <v>11</v>
      </c>
      <c r="D3" s="1" t="s">
        <v>8</v>
      </c>
      <c r="E3" s="1" t="s">
        <v>9</v>
      </c>
      <c r="F3" s="1" t="s">
        <v>10</v>
      </c>
      <c r="G3" s="1">
        <v>3</v>
      </c>
      <c r="H3" s="1" t="s">
        <v>26</v>
      </c>
      <c r="I3">
        <f>MEDIAN(A2:A245)</f>
        <v>17.809999999999999</v>
      </c>
    </row>
    <row r="4" spans="1:9" x14ac:dyDescent="0.25">
      <c r="A4" s="1">
        <v>21.01</v>
      </c>
      <c r="B4" s="1">
        <v>3.5</v>
      </c>
      <c r="C4" s="1" t="s">
        <v>11</v>
      </c>
      <c r="D4" s="1" t="s">
        <v>8</v>
      </c>
      <c r="E4" s="1" t="s">
        <v>9</v>
      </c>
      <c r="F4" s="1" t="s">
        <v>10</v>
      </c>
      <c r="G4" s="1">
        <v>3</v>
      </c>
      <c r="H4" s="8" t="s">
        <v>29</v>
      </c>
      <c r="I4">
        <f>_xlfn.MODE.SNGL(G2:G245)</f>
        <v>2</v>
      </c>
    </row>
    <row r="5" spans="1:9" x14ac:dyDescent="0.25">
      <c r="A5" s="1">
        <v>23.68</v>
      </c>
      <c r="B5" s="1">
        <v>3.31</v>
      </c>
      <c r="C5" s="1" t="s">
        <v>11</v>
      </c>
      <c r="D5" s="1" t="s">
        <v>8</v>
      </c>
      <c r="E5" s="1" t="s">
        <v>9</v>
      </c>
      <c r="F5" s="1" t="s">
        <v>10</v>
      </c>
      <c r="G5" s="1">
        <v>2</v>
      </c>
      <c r="H5" s="1" t="s">
        <v>27</v>
      </c>
      <c r="I5">
        <f>AVERAGE(B2:B245)</f>
        <v>3.0023868312757203</v>
      </c>
    </row>
    <row r="6" spans="1:9" x14ac:dyDescent="0.25">
      <c r="A6" s="1">
        <v>24.59</v>
      </c>
      <c r="B6" s="1">
        <v>3.61</v>
      </c>
      <c r="C6" s="1" t="s">
        <v>7</v>
      </c>
      <c r="D6" s="1" t="s">
        <v>8</v>
      </c>
      <c r="E6" s="1" t="s">
        <v>9</v>
      </c>
      <c r="F6" s="1" t="s">
        <v>10</v>
      </c>
      <c r="G6" s="1">
        <v>4</v>
      </c>
      <c r="H6" s="8" t="s">
        <v>28</v>
      </c>
      <c r="I6">
        <f>MEDIAN(B2:B245)</f>
        <v>2.92</v>
      </c>
    </row>
    <row r="7" spans="1:9" x14ac:dyDescent="0.25">
      <c r="A7" s="1">
        <v>25.29</v>
      </c>
      <c r="B7" s="1">
        <v>4.71</v>
      </c>
      <c r="C7" s="1" t="s">
        <v>11</v>
      </c>
      <c r="D7" s="1" t="s">
        <v>8</v>
      </c>
      <c r="E7" s="1" t="s">
        <v>9</v>
      </c>
      <c r="F7" s="1" t="s">
        <v>10</v>
      </c>
      <c r="G7" s="1">
        <v>4</v>
      </c>
      <c r="H7" s="1" t="s">
        <v>36</v>
      </c>
    </row>
    <row r="8" spans="1:9" x14ac:dyDescent="0.25">
      <c r="A8" s="1">
        <v>8.77</v>
      </c>
      <c r="B8" s="1">
        <v>2</v>
      </c>
      <c r="C8" s="1" t="s">
        <v>11</v>
      </c>
      <c r="D8" s="1" t="s">
        <v>8</v>
      </c>
      <c r="E8" s="1" t="s">
        <v>9</v>
      </c>
      <c r="F8" s="1" t="s">
        <v>10</v>
      </c>
      <c r="G8" s="1">
        <v>2</v>
      </c>
      <c r="H8" s="8" t="s">
        <v>37</v>
      </c>
    </row>
    <row r="9" spans="1:9" x14ac:dyDescent="0.25">
      <c r="A9" s="1">
        <v>26.88</v>
      </c>
      <c r="B9" s="1">
        <v>3.12</v>
      </c>
      <c r="C9" s="1" t="s">
        <v>11</v>
      </c>
      <c r="D9" s="1" t="s">
        <v>8</v>
      </c>
      <c r="E9" s="1" t="s">
        <v>9</v>
      </c>
      <c r="F9" s="1" t="s">
        <v>10</v>
      </c>
      <c r="G9" s="1">
        <v>4</v>
      </c>
      <c r="H9" s="1" t="s">
        <v>38</v>
      </c>
    </row>
    <row r="10" spans="1:9" x14ac:dyDescent="0.25">
      <c r="A10" s="1">
        <v>15.04</v>
      </c>
      <c r="B10" s="1">
        <v>1.96</v>
      </c>
      <c r="C10" s="1" t="s">
        <v>11</v>
      </c>
      <c r="D10" s="1" t="s">
        <v>8</v>
      </c>
      <c r="E10" s="1" t="s">
        <v>9</v>
      </c>
      <c r="F10" s="1" t="s">
        <v>10</v>
      </c>
      <c r="G10" s="1">
        <v>2</v>
      </c>
      <c r="H10" s="9" t="s">
        <v>30</v>
      </c>
      <c r="I10">
        <f>MIN(A2:A245)</f>
        <v>3.07</v>
      </c>
    </row>
    <row r="11" spans="1:9" x14ac:dyDescent="0.25">
      <c r="A11" s="1">
        <v>14.78</v>
      </c>
      <c r="B11" s="1">
        <v>3.23</v>
      </c>
      <c r="C11" s="1" t="s">
        <v>11</v>
      </c>
      <c r="D11" s="1" t="s">
        <v>8</v>
      </c>
      <c r="E11" s="1" t="s">
        <v>9</v>
      </c>
      <c r="F11" s="1" t="s">
        <v>10</v>
      </c>
      <c r="G11" s="1">
        <v>2</v>
      </c>
      <c r="H11" s="9" t="s">
        <v>31</v>
      </c>
      <c r="I11">
        <f>MAX(A2:A245)</f>
        <v>50.81</v>
      </c>
    </row>
    <row r="12" spans="1:9" x14ac:dyDescent="0.25">
      <c r="A12" s="1">
        <v>10.27</v>
      </c>
      <c r="B12" s="1">
        <v>1.71</v>
      </c>
      <c r="C12" s="1" t="s">
        <v>11</v>
      </c>
      <c r="D12" s="1" t="s">
        <v>8</v>
      </c>
      <c r="E12" s="1" t="s">
        <v>9</v>
      </c>
      <c r="F12" s="1" t="s">
        <v>10</v>
      </c>
      <c r="G12" s="1">
        <v>2</v>
      </c>
      <c r="H12" s="9" t="s">
        <v>32</v>
      </c>
      <c r="I12">
        <f>MAX(A2:A245)-MIN(A2:A245)</f>
        <v>47.74</v>
      </c>
    </row>
    <row r="13" spans="1:9" x14ac:dyDescent="0.25">
      <c r="A13" s="1">
        <v>35.26</v>
      </c>
      <c r="B13" s="1">
        <v>5</v>
      </c>
      <c r="C13" s="1" t="s">
        <v>7</v>
      </c>
      <c r="D13" s="1" t="s">
        <v>8</v>
      </c>
      <c r="E13" s="1" t="s">
        <v>9</v>
      </c>
      <c r="F13" s="1" t="s">
        <v>10</v>
      </c>
      <c r="G13" s="1">
        <v>4</v>
      </c>
      <c r="H13" s="9" t="s">
        <v>33</v>
      </c>
      <c r="I13">
        <f>MIN(B2:B245)</f>
        <v>1</v>
      </c>
    </row>
    <row r="14" spans="1:9" x14ac:dyDescent="0.25">
      <c r="A14" s="1">
        <v>15.42</v>
      </c>
      <c r="B14" s="1">
        <v>1.57</v>
      </c>
      <c r="C14" s="1" t="s">
        <v>11</v>
      </c>
      <c r="D14" s="1" t="s">
        <v>8</v>
      </c>
      <c r="E14" s="1" t="s">
        <v>9</v>
      </c>
      <c r="F14" s="1" t="s">
        <v>10</v>
      </c>
      <c r="G14" s="1">
        <v>2</v>
      </c>
      <c r="H14" s="9" t="s">
        <v>34</v>
      </c>
      <c r="I14">
        <f>MAX(B2:B245)</f>
        <v>10</v>
      </c>
    </row>
    <row r="15" spans="1:9" x14ac:dyDescent="0.25">
      <c r="A15" s="1">
        <v>18.43</v>
      </c>
      <c r="B15" s="1">
        <v>3</v>
      </c>
      <c r="C15" s="1" t="s">
        <v>11</v>
      </c>
      <c r="D15" s="1" t="s">
        <v>8</v>
      </c>
      <c r="E15" s="1" t="s">
        <v>9</v>
      </c>
      <c r="F15" s="1" t="s">
        <v>10</v>
      </c>
      <c r="G15" s="1">
        <v>4</v>
      </c>
      <c r="H15" s="9" t="s">
        <v>35</v>
      </c>
      <c r="I15">
        <f>MAX(B2:B245)-MIN(B2:B245)</f>
        <v>9</v>
      </c>
    </row>
    <row r="16" spans="1:9" x14ac:dyDescent="0.25">
      <c r="A16" s="1">
        <v>14.83</v>
      </c>
      <c r="B16" s="1">
        <v>3.02</v>
      </c>
      <c r="C16" s="1" t="s">
        <v>7</v>
      </c>
      <c r="D16" s="1" t="s">
        <v>8</v>
      </c>
      <c r="E16" s="1" t="s">
        <v>9</v>
      </c>
      <c r="F16" s="1" t="s">
        <v>10</v>
      </c>
      <c r="G16" s="1">
        <v>2</v>
      </c>
    </row>
    <row r="17" spans="1:7" x14ac:dyDescent="0.25">
      <c r="A17" s="1">
        <v>21.58</v>
      </c>
      <c r="B17" s="1">
        <v>3.92</v>
      </c>
      <c r="C17" s="1" t="s">
        <v>11</v>
      </c>
      <c r="D17" s="1" t="s">
        <v>8</v>
      </c>
      <c r="E17" s="1" t="s">
        <v>9</v>
      </c>
      <c r="F17" s="1" t="s">
        <v>10</v>
      </c>
      <c r="G17" s="1">
        <v>2</v>
      </c>
    </row>
    <row r="18" spans="1:7" x14ac:dyDescent="0.25">
      <c r="A18" s="1">
        <v>10.33</v>
      </c>
      <c r="B18" s="1">
        <v>1.67</v>
      </c>
      <c r="C18" s="1" t="s">
        <v>7</v>
      </c>
      <c r="D18" s="1" t="s">
        <v>8</v>
      </c>
      <c r="E18" s="1" t="s">
        <v>9</v>
      </c>
      <c r="F18" s="1" t="s">
        <v>10</v>
      </c>
      <c r="G18" s="1">
        <v>3</v>
      </c>
    </row>
    <row r="19" spans="1:7" x14ac:dyDescent="0.25">
      <c r="A19" s="1">
        <v>16.29</v>
      </c>
      <c r="B19" s="1">
        <v>3.71</v>
      </c>
      <c r="C19" s="1" t="s">
        <v>11</v>
      </c>
      <c r="D19" s="1" t="s">
        <v>8</v>
      </c>
      <c r="E19" s="1" t="s">
        <v>9</v>
      </c>
      <c r="F19" s="1" t="s">
        <v>10</v>
      </c>
      <c r="G19" s="1">
        <v>3</v>
      </c>
    </row>
    <row r="20" spans="1:7" x14ac:dyDescent="0.25">
      <c r="A20" s="1">
        <v>16.97</v>
      </c>
      <c r="B20" s="1">
        <v>3.5</v>
      </c>
      <c r="C20" s="1" t="s">
        <v>7</v>
      </c>
      <c r="D20" s="1" t="s">
        <v>8</v>
      </c>
      <c r="E20" s="1" t="s">
        <v>9</v>
      </c>
      <c r="F20" s="1" t="s">
        <v>10</v>
      </c>
      <c r="G20" s="1">
        <v>3</v>
      </c>
    </row>
    <row r="21" spans="1:7" x14ac:dyDescent="0.25">
      <c r="A21" s="1">
        <v>20.65</v>
      </c>
      <c r="B21" s="1">
        <v>3.35</v>
      </c>
      <c r="C21" s="1" t="s">
        <v>11</v>
      </c>
      <c r="D21" s="1" t="s">
        <v>8</v>
      </c>
      <c r="E21" s="1" t="s">
        <v>12</v>
      </c>
      <c r="F21" s="1" t="s">
        <v>10</v>
      </c>
      <c r="G21" s="1">
        <v>3</v>
      </c>
    </row>
    <row r="22" spans="1:7" x14ac:dyDescent="0.25">
      <c r="A22" s="1">
        <v>17.920000000000002</v>
      </c>
      <c r="B22" s="1">
        <v>4.08</v>
      </c>
      <c r="C22" s="1" t="s">
        <v>11</v>
      </c>
      <c r="D22" s="1" t="s">
        <v>8</v>
      </c>
      <c r="E22" s="1" t="s">
        <v>12</v>
      </c>
      <c r="F22" s="1" t="s">
        <v>10</v>
      </c>
      <c r="G22" s="1">
        <v>2</v>
      </c>
    </row>
    <row r="23" spans="1:7" x14ac:dyDescent="0.25">
      <c r="A23" s="1">
        <v>20.29</v>
      </c>
      <c r="B23" s="1">
        <v>2.75</v>
      </c>
      <c r="C23" s="1" t="s">
        <v>7</v>
      </c>
      <c r="D23" s="1" t="s">
        <v>8</v>
      </c>
      <c r="E23" s="1" t="s">
        <v>12</v>
      </c>
      <c r="F23" s="1" t="s">
        <v>10</v>
      </c>
      <c r="G23" s="1">
        <v>2</v>
      </c>
    </row>
    <row r="24" spans="1:7" x14ac:dyDescent="0.25">
      <c r="A24" s="1">
        <v>15.77</v>
      </c>
      <c r="B24" s="1">
        <v>2.23</v>
      </c>
      <c r="C24" s="1" t="s">
        <v>7</v>
      </c>
      <c r="D24" s="1" t="s">
        <v>8</v>
      </c>
      <c r="E24" s="1" t="s">
        <v>12</v>
      </c>
      <c r="F24" s="1" t="s">
        <v>10</v>
      </c>
      <c r="G24" s="1">
        <v>2</v>
      </c>
    </row>
    <row r="25" spans="1:7" x14ac:dyDescent="0.25">
      <c r="A25" s="1">
        <v>39.42</v>
      </c>
      <c r="B25" s="1">
        <v>7.58</v>
      </c>
      <c r="C25" s="1" t="s">
        <v>11</v>
      </c>
      <c r="D25" s="1" t="s">
        <v>8</v>
      </c>
      <c r="E25" s="1" t="s">
        <v>12</v>
      </c>
      <c r="F25" s="1" t="s">
        <v>10</v>
      </c>
      <c r="G25" s="1">
        <v>4</v>
      </c>
    </row>
    <row r="26" spans="1:7" x14ac:dyDescent="0.25">
      <c r="A26" s="1">
        <v>19.82</v>
      </c>
      <c r="B26" s="1">
        <v>3.18</v>
      </c>
      <c r="C26" s="1" t="s">
        <v>11</v>
      </c>
      <c r="D26" s="1" t="s">
        <v>8</v>
      </c>
      <c r="E26" s="1" t="s">
        <v>12</v>
      </c>
      <c r="F26" s="1" t="s">
        <v>10</v>
      </c>
      <c r="G26" s="1">
        <v>2</v>
      </c>
    </row>
    <row r="27" spans="1:7" x14ac:dyDescent="0.25">
      <c r="A27" s="1">
        <v>17.809999999999999</v>
      </c>
      <c r="B27" s="1">
        <v>2.34</v>
      </c>
      <c r="C27" s="1" t="s">
        <v>11</v>
      </c>
      <c r="D27" s="1" t="s">
        <v>8</v>
      </c>
      <c r="E27" s="1" t="s">
        <v>12</v>
      </c>
      <c r="F27" s="1" t="s">
        <v>10</v>
      </c>
      <c r="G27" s="1">
        <v>4</v>
      </c>
    </row>
    <row r="28" spans="1:7" x14ac:dyDescent="0.25">
      <c r="A28" s="1">
        <v>13.37</v>
      </c>
      <c r="B28" s="1">
        <v>2</v>
      </c>
      <c r="C28" s="1" t="s">
        <v>11</v>
      </c>
      <c r="D28" s="1" t="s">
        <v>8</v>
      </c>
      <c r="E28" s="1" t="s">
        <v>12</v>
      </c>
      <c r="F28" s="1" t="s">
        <v>10</v>
      </c>
      <c r="G28" s="1">
        <v>2</v>
      </c>
    </row>
    <row r="29" spans="1:7" x14ac:dyDescent="0.25">
      <c r="A29" s="1">
        <v>12.69</v>
      </c>
      <c r="B29" s="1">
        <v>2</v>
      </c>
      <c r="C29" s="1" t="s">
        <v>11</v>
      </c>
      <c r="D29" s="1" t="s">
        <v>8</v>
      </c>
      <c r="E29" s="1" t="s">
        <v>12</v>
      </c>
      <c r="F29" s="1" t="s">
        <v>10</v>
      </c>
      <c r="G29" s="1">
        <v>2</v>
      </c>
    </row>
    <row r="30" spans="1:7" x14ac:dyDescent="0.25">
      <c r="A30" s="1">
        <v>21.7</v>
      </c>
      <c r="B30" s="1">
        <v>4.3</v>
      </c>
      <c r="C30" s="1" t="s">
        <v>11</v>
      </c>
      <c r="D30" s="1" t="s">
        <v>8</v>
      </c>
      <c r="E30" s="1" t="s">
        <v>12</v>
      </c>
      <c r="F30" s="1" t="s">
        <v>10</v>
      </c>
      <c r="G30" s="1">
        <v>2</v>
      </c>
    </row>
    <row r="31" spans="1:7" x14ac:dyDescent="0.25">
      <c r="A31" s="1">
        <v>19.649999999999999</v>
      </c>
      <c r="B31" s="1">
        <v>3</v>
      </c>
      <c r="C31" s="1" t="s">
        <v>7</v>
      </c>
      <c r="D31" s="1" t="s">
        <v>8</v>
      </c>
      <c r="E31" s="1" t="s">
        <v>12</v>
      </c>
      <c r="F31" s="1" t="s">
        <v>10</v>
      </c>
      <c r="G31" s="1">
        <v>2</v>
      </c>
    </row>
    <row r="32" spans="1:7" x14ac:dyDescent="0.25">
      <c r="A32" s="1">
        <v>9.5500000000000007</v>
      </c>
      <c r="B32" s="1">
        <v>1.45</v>
      </c>
      <c r="C32" s="1" t="s">
        <v>11</v>
      </c>
      <c r="D32" s="1" t="s">
        <v>8</v>
      </c>
      <c r="E32" s="1" t="s">
        <v>12</v>
      </c>
      <c r="F32" s="1" t="s">
        <v>10</v>
      </c>
      <c r="G32" s="1">
        <v>2</v>
      </c>
    </row>
    <row r="33" spans="1:7" x14ac:dyDescent="0.25">
      <c r="A33" s="1">
        <v>18.350000000000001</v>
      </c>
      <c r="B33" s="1">
        <v>2.5</v>
      </c>
      <c r="C33" s="1" t="s">
        <v>11</v>
      </c>
      <c r="D33" s="1" t="s">
        <v>8</v>
      </c>
      <c r="E33" s="1" t="s">
        <v>12</v>
      </c>
      <c r="F33" s="1" t="s">
        <v>10</v>
      </c>
      <c r="G33" s="1">
        <v>4</v>
      </c>
    </row>
    <row r="34" spans="1:7" x14ac:dyDescent="0.25">
      <c r="A34" s="1">
        <v>15.06</v>
      </c>
      <c r="B34" s="1">
        <v>3</v>
      </c>
      <c r="C34" s="1" t="s">
        <v>7</v>
      </c>
      <c r="D34" s="1" t="s">
        <v>8</v>
      </c>
      <c r="E34" s="1" t="s">
        <v>12</v>
      </c>
      <c r="F34" s="1" t="s">
        <v>10</v>
      </c>
      <c r="G34" s="1">
        <v>2</v>
      </c>
    </row>
    <row r="35" spans="1:7" x14ac:dyDescent="0.25">
      <c r="A35" s="1">
        <v>20.69</v>
      </c>
      <c r="B35" s="1">
        <v>2.4500000000000002</v>
      </c>
      <c r="C35" s="1" t="s">
        <v>7</v>
      </c>
      <c r="D35" s="1" t="s">
        <v>8</v>
      </c>
      <c r="E35" s="1" t="s">
        <v>12</v>
      </c>
      <c r="F35" s="1" t="s">
        <v>10</v>
      </c>
      <c r="G35" s="1">
        <v>4</v>
      </c>
    </row>
    <row r="36" spans="1:7" x14ac:dyDescent="0.25">
      <c r="A36" s="1">
        <v>17.78</v>
      </c>
      <c r="B36" s="1">
        <v>3.27</v>
      </c>
      <c r="C36" s="1" t="s">
        <v>11</v>
      </c>
      <c r="D36" s="1" t="s">
        <v>8</v>
      </c>
      <c r="E36" s="1" t="s">
        <v>12</v>
      </c>
      <c r="F36" s="1" t="s">
        <v>10</v>
      </c>
      <c r="G36" s="1">
        <v>2</v>
      </c>
    </row>
    <row r="37" spans="1:7" x14ac:dyDescent="0.25">
      <c r="A37" s="1">
        <v>24.06</v>
      </c>
      <c r="B37" s="1">
        <v>3.6</v>
      </c>
      <c r="C37" s="1" t="s">
        <v>11</v>
      </c>
      <c r="D37" s="1" t="s">
        <v>8</v>
      </c>
      <c r="E37" s="1" t="s">
        <v>12</v>
      </c>
      <c r="F37" s="1" t="s">
        <v>10</v>
      </c>
      <c r="G37" s="1">
        <v>3</v>
      </c>
    </row>
    <row r="38" spans="1:7" x14ac:dyDescent="0.25">
      <c r="A38" s="1">
        <v>16.309999999999999</v>
      </c>
      <c r="B38" s="1">
        <v>2</v>
      </c>
      <c r="C38" s="1" t="s">
        <v>11</v>
      </c>
      <c r="D38" s="1" t="s">
        <v>8</v>
      </c>
      <c r="E38" s="1" t="s">
        <v>12</v>
      </c>
      <c r="F38" s="1" t="s">
        <v>10</v>
      </c>
      <c r="G38" s="1">
        <v>3</v>
      </c>
    </row>
    <row r="39" spans="1:7" x14ac:dyDescent="0.25">
      <c r="A39" s="1">
        <v>16.93</v>
      </c>
      <c r="B39" s="1">
        <v>3.07</v>
      </c>
      <c r="C39" s="1" t="s">
        <v>7</v>
      </c>
      <c r="D39" s="1" t="s">
        <v>8</v>
      </c>
      <c r="E39" s="1" t="s">
        <v>12</v>
      </c>
      <c r="F39" s="1" t="s">
        <v>10</v>
      </c>
      <c r="G39" s="1">
        <v>3</v>
      </c>
    </row>
    <row r="40" spans="1:7" x14ac:dyDescent="0.25">
      <c r="A40" s="1">
        <v>18.690000000000001</v>
      </c>
      <c r="B40" s="1">
        <v>2.31</v>
      </c>
      <c r="C40" s="1" t="s">
        <v>11</v>
      </c>
      <c r="D40" s="1" t="s">
        <v>8</v>
      </c>
      <c r="E40" s="1" t="s">
        <v>12</v>
      </c>
      <c r="F40" s="1" t="s">
        <v>10</v>
      </c>
      <c r="G40" s="1">
        <v>3</v>
      </c>
    </row>
    <row r="41" spans="1:7" x14ac:dyDescent="0.25">
      <c r="A41" s="1">
        <v>31.27</v>
      </c>
      <c r="B41" s="1">
        <v>5</v>
      </c>
      <c r="C41" s="1" t="s">
        <v>11</v>
      </c>
      <c r="D41" s="1" t="s">
        <v>8</v>
      </c>
      <c r="E41" s="1" t="s">
        <v>12</v>
      </c>
      <c r="F41" s="1" t="s">
        <v>10</v>
      </c>
      <c r="G41" s="1">
        <v>3</v>
      </c>
    </row>
    <row r="42" spans="1:7" x14ac:dyDescent="0.25">
      <c r="A42" s="1">
        <v>16.04</v>
      </c>
      <c r="B42" s="1">
        <v>2.2400000000000002</v>
      </c>
      <c r="C42" s="1" t="s">
        <v>11</v>
      </c>
      <c r="D42" s="1" t="s">
        <v>8</v>
      </c>
      <c r="E42" s="1" t="s">
        <v>12</v>
      </c>
      <c r="F42" s="1" t="s">
        <v>10</v>
      </c>
      <c r="G42" s="1">
        <v>3</v>
      </c>
    </row>
    <row r="43" spans="1:7" x14ac:dyDescent="0.25">
      <c r="A43" s="1">
        <v>17.46</v>
      </c>
      <c r="B43" s="1">
        <v>2.54</v>
      </c>
      <c r="C43" s="1" t="s">
        <v>11</v>
      </c>
      <c r="D43" s="1" t="s">
        <v>8</v>
      </c>
      <c r="E43" s="1" t="s">
        <v>9</v>
      </c>
      <c r="F43" s="1" t="s">
        <v>10</v>
      </c>
      <c r="G43" s="1">
        <v>2</v>
      </c>
    </row>
    <row r="44" spans="1:7" x14ac:dyDescent="0.25">
      <c r="A44" s="1">
        <v>13.94</v>
      </c>
      <c r="B44" s="1">
        <v>3.06</v>
      </c>
      <c r="C44" s="1" t="s">
        <v>11</v>
      </c>
      <c r="D44" s="1" t="s">
        <v>8</v>
      </c>
      <c r="E44" s="1" t="s">
        <v>9</v>
      </c>
      <c r="F44" s="1" t="s">
        <v>10</v>
      </c>
      <c r="G44" s="1">
        <v>2</v>
      </c>
    </row>
    <row r="45" spans="1:7" x14ac:dyDescent="0.25">
      <c r="A45" s="1">
        <v>9.68</v>
      </c>
      <c r="B45" s="1">
        <v>1.32</v>
      </c>
      <c r="C45" s="1" t="s">
        <v>11</v>
      </c>
      <c r="D45" s="1" t="s">
        <v>8</v>
      </c>
      <c r="E45" s="1" t="s">
        <v>9</v>
      </c>
      <c r="F45" s="1" t="s">
        <v>10</v>
      </c>
      <c r="G45" s="1">
        <v>2</v>
      </c>
    </row>
    <row r="46" spans="1:7" x14ac:dyDescent="0.25">
      <c r="A46" s="1">
        <v>30.4</v>
      </c>
      <c r="B46" s="1">
        <v>5.6</v>
      </c>
      <c r="C46" s="1" t="s">
        <v>11</v>
      </c>
      <c r="D46" s="1" t="s">
        <v>8</v>
      </c>
      <c r="E46" s="1" t="s">
        <v>9</v>
      </c>
      <c r="F46" s="1" t="s">
        <v>10</v>
      </c>
      <c r="G46" s="1">
        <v>4</v>
      </c>
    </row>
    <row r="47" spans="1:7" x14ac:dyDescent="0.25">
      <c r="A47" s="1">
        <v>18.29</v>
      </c>
      <c r="B47" s="1">
        <v>3</v>
      </c>
      <c r="C47" s="1" t="s">
        <v>11</v>
      </c>
      <c r="D47" s="1" t="s">
        <v>8</v>
      </c>
      <c r="E47" s="1" t="s">
        <v>9</v>
      </c>
      <c r="F47" s="1" t="s">
        <v>10</v>
      </c>
      <c r="G47" s="1">
        <v>2</v>
      </c>
    </row>
    <row r="48" spans="1:7" x14ac:dyDescent="0.25">
      <c r="A48" s="1">
        <v>22.23</v>
      </c>
      <c r="B48" s="1">
        <v>5</v>
      </c>
      <c r="C48" s="1" t="s">
        <v>11</v>
      </c>
      <c r="D48" s="1" t="s">
        <v>8</v>
      </c>
      <c r="E48" s="1" t="s">
        <v>9</v>
      </c>
      <c r="F48" s="1" t="s">
        <v>10</v>
      </c>
      <c r="G48" s="1">
        <v>2</v>
      </c>
    </row>
    <row r="49" spans="1:7" x14ac:dyDescent="0.25">
      <c r="A49" s="1">
        <v>32.4</v>
      </c>
      <c r="B49" s="1">
        <v>6</v>
      </c>
      <c r="C49" s="1" t="s">
        <v>11</v>
      </c>
      <c r="D49" s="1" t="s">
        <v>8</v>
      </c>
      <c r="E49" s="1" t="s">
        <v>9</v>
      </c>
      <c r="F49" s="1" t="s">
        <v>10</v>
      </c>
      <c r="G49" s="1">
        <v>4</v>
      </c>
    </row>
    <row r="50" spans="1:7" x14ac:dyDescent="0.25">
      <c r="A50" s="1">
        <v>28.55</v>
      </c>
      <c r="B50" s="1">
        <v>2.0499999999999998</v>
      </c>
      <c r="C50" s="1" t="s">
        <v>11</v>
      </c>
      <c r="D50" s="1" t="s">
        <v>8</v>
      </c>
      <c r="E50" s="1" t="s">
        <v>9</v>
      </c>
      <c r="F50" s="1" t="s">
        <v>10</v>
      </c>
      <c r="G50" s="1">
        <v>3</v>
      </c>
    </row>
    <row r="51" spans="1:7" x14ac:dyDescent="0.25">
      <c r="A51" s="1">
        <v>18.04</v>
      </c>
      <c r="B51" s="1">
        <v>3</v>
      </c>
      <c r="C51" s="1" t="s">
        <v>11</v>
      </c>
      <c r="D51" s="1" t="s">
        <v>8</v>
      </c>
      <c r="E51" s="1" t="s">
        <v>9</v>
      </c>
      <c r="F51" s="1" t="s">
        <v>10</v>
      </c>
      <c r="G51" s="1">
        <v>2</v>
      </c>
    </row>
    <row r="52" spans="1:7" x14ac:dyDescent="0.25">
      <c r="A52" s="1">
        <v>12.54</v>
      </c>
      <c r="B52" s="1">
        <v>2.5</v>
      </c>
      <c r="C52" s="1" t="s">
        <v>11</v>
      </c>
      <c r="D52" s="1" t="s">
        <v>8</v>
      </c>
      <c r="E52" s="1" t="s">
        <v>9</v>
      </c>
      <c r="F52" s="1" t="s">
        <v>10</v>
      </c>
      <c r="G52" s="1">
        <v>2</v>
      </c>
    </row>
    <row r="53" spans="1:7" x14ac:dyDescent="0.25">
      <c r="A53" s="1">
        <v>10.29</v>
      </c>
      <c r="B53" s="1">
        <v>2.6</v>
      </c>
      <c r="C53" s="1" t="s">
        <v>7</v>
      </c>
      <c r="D53" s="1" t="s">
        <v>8</v>
      </c>
      <c r="E53" s="1" t="s">
        <v>9</v>
      </c>
      <c r="F53" s="1" t="s">
        <v>10</v>
      </c>
      <c r="G53" s="1">
        <v>2</v>
      </c>
    </row>
    <row r="54" spans="1:7" x14ac:dyDescent="0.25">
      <c r="A54" s="1">
        <v>34.81</v>
      </c>
      <c r="B54" s="1">
        <v>5.2</v>
      </c>
      <c r="C54" s="1" t="s">
        <v>7</v>
      </c>
      <c r="D54" s="1" t="s">
        <v>8</v>
      </c>
      <c r="E54" s="1" t="s">
        <v>9</v>
      </c>
      <c r="F54" s="1" t="s">
        <v>10</v>
      </c>
      <c r="G54" s="1">
        <v>4</v>
      </c>
    </row>
    <row r="55" spans="1:7" x14ac:dyDescent="0.25">
      <c r="A55" s="1">
        <v>9.94</v>
      </c>
      <c r="B55" s="1">
        <v>1.56</v>
      </c>
      <c r="C55" s="1" t="s">
        <v>11</v>
      </c>
      <c r="D55" s="1" t="s">
        <v>8</v>
      </c>
      <c r="E55" s="1" t="s">
        <v>9</v>
      </c>
      <c r="F55" s="1" t="s">
        <v>10</v>
      </c>
      <c r="G55" s="1">
        <v>2</v>
      </c>
    </row>
    <row r="56" spans="1:7" x14ac:dyDescent="0.25">
      <c r="A56" s="1">
        <v>25.56</v>
      </c>
      <c r="B56" s="1">
        <v>4.34</v>
      </c>
      <c r="C56" s="1" t="s">
        <v>11</v>
      </c>
      <c r="D56" s="1" t="s">
        <v>8</v>
      </c>
      <c r="E56" s="1" t="s">
        <v>9</v>
      </c>
      <c r="F56" s="1" t="s">
        <v>10</v>
      </c>
      <c r="G56" s="1">
        <v>4</v>
      </c>
    </row>
    <row r="57" spans="1:7" x14ac:dyDescent="0.25">
      <c r="A57" s="1">
        <v>19.489999999999998</v>
      </c>
      <c r="B57" s="1">
        <v>3.51</v>
      </c>
      <c r="C57" s="1" t="s">
        <v>11</v>
      </c>
      <c r="D57" s="1" t="s">
        <v>8</v>
      </c>
      <c r="E57" s="1" t="s">
        <v>9</v>
      </c>
      <c r="F57" s="1" t="s">
        <v>10</v>
      </c>
      <c r="G57" s="1">
        <v>2</v>
      </c>
    </row>
    <row r="58" spans="1:7" x14ac:dyDescent="0.25">
      <c r="A58" s="1">
        <v>38.01</v>
      </c>
      <c r="B58" s="1">
        <v>3</v>
      </c>
      <c r="C58" s="1" t="s">
        <v>11</v>
      </c>
      <c r="D58" s="1" t="s">
        <v>13</v>
      </c>
      <c r="E58" s="1" t="s">
        <v>12</v>
      </c>
      <c r="F58" s="1" t="s">
        <v>10</v>
      </c>
      <c r="G58" s="1">
        <v>4</v>
      </c>
    </row>
    <row r="59" spans="1:7" x14ac:dyDescent="0.25">
      <c r="A59" s="1">
        <v>26.41</v>
      </c>
      <c r="B59" s="1">
        <v>1.5</v>
      </c>
      <c r="C59" s="1" t="s">
        <v>7</v>
      </c>
      <c r="D59" s="1" t="s">
        <v>8</v>
      </c>
      <c r="E59" s="1" t="s">
        <v>12</v>
      </c>
      <c r="F59" s="1" t="s">
        <v>10</v>
      </c>
      <c r="G59" s="1">
        <v>2</v>
      </c>
    </row>
    <row r="60" spans="1:7" x14ac:dyDescent="0.25">
      <c r="A60" s="1">
        <v>11.24</v>
      </c>
      <c r="B60" s="1">
        <v>1.76</v>
      </c>
      <c r="C60" s="1" t="s">
        <v>11</v>
      </c>
      <c r="D60" s="1" t="s">
        <v>13</v>
      </c>
      <c r="E60" s="1" t="s">
        <v>12</v>
      </c>
      <c r="F60" s="1" t="s">
        <v>10</v>
      </c>
      <c r="G60" s="1">
        <v>2</v>
      </c>
    </row>
    <row r="61" spans="1:7" x14ac:dyDescent="0.25">
      <c r="A61" s="1">
        <v>48.27</v>
      </c>
      <c r="B61" s="1">
        <v>6.73</v>
      </c>
      <c r="C61" s="1" t="s">
        <v>11</v>
      </c>
      <c r="D61" s="1" t="s">
        <v>8</v>
      </c>
      <c r="E61" s="1" t="s">
        <v>12</v>
      </c>
      <c r="F61" s="1" t="s">
        <v>10</v>
      </c>
      <c r="G61" s="1">
        <v>4</v>
      </c>
    </row>
    <row r="62" spans="1:7" x14ac:dyDescent="0.25">
      <c r="A62" s="1">
        <v>20.29</v>
      </c>
      <c r="B62" s="1">
        <v>3.21</v>
      </c>
      <c r="C62" s="1" t="s">
        <v>11</v>
      </c>
      <c r="D62" s="1" t="s">
        <v>13</v>
      </c>
      <c r="E62" s="1" t="s">
        <v>12</v>
      </c>
      <c r="F62" s="1" t="s">
        <v>10</v>
      </c>
      <c r="G62" s="1">
        <v>2</v>
      </c>
    </row>
    <row r="63" spans="1:7" x14ac:dyDescent="0.25">
      <c r="A63" s="1">
        <v>13.81</v>
      </c>
      <c r="B63" s="1">
        <v>2</v>
      </c>
      <c r="C63" s="1" t="s">
        <v>11</v>
      </c>
      <c r="D63" s="1" t="s">
        <v>13</v>
      </c>
      <c r="E63" s="1" t="s">
        <v>12</v>
      </c>
      <c r="F63" s="1" t="s">
        <v>10</v>
      </c>
      <c r="G63" s="1">
        <v>2</v>
      </c>
    </row>
    <row r="64" spans="1:7" x14ac:dyDescent="0.25">
      <c r="A64" s="1">
        <v>11.02</v>
      </c>
      <c r="B64" s="1">
        <v>1.98</v>
      </c>
      <c r="C64" s="1" t="s">
        <v>11</v>
      </c>
      <c r="D64" s="1" t="s">
        <v>13</v>
      </c>
      <c r="E64" s="1" t="s">
        <v>12</v>
      </c>
      <c r="F64" s="1" t="s">
        <v>10</v>
      </c>
      <c r="G64" s="1">
        <v>2</v>
      </c>
    </row>
    <row r="65" spans="1:7" x14ac:dyDescent="0.25">
      <c r="A65" s="1">
        <v>18.29</v>
      </c>
      <c r="B65" s="1">
        <v>3.76</v>
      </c>
      <c r="C65" s="1" t="s">
        <v>11</v>
      </c>
      <c r="D65" s="1" t="s">
        <v>13</v>
      </c>
      <c r="E65" s="1" t="s">
        <v>12</v>
      </c>
      <c r="F65" s="1" t="s">
        <v>10</v>
      </c>
      <c r="G65" s="1">
        <v>4</v>
      </c>
    </row>
    <row r="66" spans="1:7" x14ac:dyDescent="0.25">
      <c r="A66" s="1">
        <v>17.59</v>
      </c>
      <c r="B66" s="1">
        <v>2.64</v>
      </c>
      <c r="C66" s="1" t="s">
        <v>11</v>
      </c>
      <c r="D66" s="1" t="s">
        <v>8</v>
      </c>
      <c r="E66" s="1" t="s">
        <v>12</v>
      </c>
      <c r="F66" s="1" t="s">
        <v>10</v>
      </c>
      <c r="G66" s="1">
        <v>3</v>
      </c>
    </row>
    <row r="67" spans="1:7" x14ac:dyDescent="0.25">
      <c r="A67" s="1">
        <v>20.079999999999998</v>
      </c>
      <c r="B67" s="1">
        <v>3.15</v>
      </c>
      <c r="C67" s="1" t="s">
        <v>11</v>
      </c>
      <c r="D67" s="1" t="s">
        <v>8</v>
      </c>
      <c r="E67" s="1" t="s">
        <v>12</v>
      </c>
      <c r="F67" s="1" t="s">
        <v>10</v>
      </c>
      <c r="G67" s="1">
        <v>3</v>
      </c>
    </row>
    <row r="68" spans="1:7" x14ac:dyDescent="0.25">
      <c r="A68" s="1">
        <v>16.45</v>
      </c>
      <c r="B68" s="1">
        <v>2.4700000000000002</v>
      </c>
      <c r="C68" s="1" t="s">
        <v>7</v>
      </c>
      <c r="D68" s="1" t="s">
        <v>8</v>
      </c>
      <c r="E68" s="1" t="s">
        <v>12</v>
      </c>
      <c r="F68" s="1" t="s">
        <v>10</v>
      </c>
      <c r="G68" s="1">
        <v>2</v>
      </c>
    </row>
    <row r="69" spans="1:7" x14ac:dyDescent="0.25">
      <c r="A69" s="1">
        <v>3.07</v>
      </c>
      <c r="B69" s="1">
        <v>1</v>
      </c>
      <c r="C69" s="1" t="s">
        <v>7</v>
      </c>
      <c r="D69" s="1" t="s">
        <v>13</v>
      </c>
      <c r="E69" s="1" t="s">
        <v>12</v>
      </c>
      <c r="F69" s="1" t="s">
        <v>10</v>
      </c>
      <c r="G69" s="1">
        <v>1</v>
      </c>
    </row>
    <row r="70" spans="1:7" x14ac:dyDescent="0.25">
      <c r="A70" s="1">
        <v>20.23</v>
      </c>
      <c r="B70" s="1">
        <v>2.0099999999999998</v>
      </c>
      <c r="C70" s="1" t="s">
        <v>11</v>
      </c>
      <c r="D70" s="1" t="s">
        <v>8</v>
      </c>
      <c r="E70" s="1" t="s">
        <v>12</v>
      </c>
      <c r="F70" s="1" t="s">
        <v>10</v>
      </c>
      <c r="G70" s="1">
        <v>2</v>
      </c>
    </row>
    <row r="71" spans="1:7" x14ac:dyDescent="0.25">
      <c r="A71" s="1">
        <v>15.01</v>
      </c>
      <c r="B71" s="1">
        <v>2.09</v>
      </c>
      <c r="C71" s="1" t="s">
        <v>11</v>
      </c>
      <c r="D71" s="1" t="s">
        <v>13</v>
      </c>
      <c r="E71" s="1" t="s">
        <v>12</v>
      </c>
      <c r="F71" s="1" t="s">
        <v>10</v>
      </c>
      <c r="G71" s="1">
        <v>2</v>
      </c>
    </row>
    <row r="72" spans="1:7" x14ac:dyDescent="0.25">
      <c r="A72" s="1">
        <v>12.02</v>
      </c>
      <c r="B72" s="1">
        <v>1.97</v>
      </c>
      <c r="C72" s="1" t="s">
        <v>11</v>
      </c>
      <c r="D72" s="1" t="s">
        <v>8</v>
      </c>
      <c r="E72" s="1" t="s">
        <v>12</v>
      </c>
      <c r="F72" s="1" t="s">
        <v>10</v>
      </c>
      <c r="G72" s="1">
        <v>2</v>
      </c>
    </row>
    <row r="73" spans="1:7" x14ac:dyDescent="0.25">
      <c r="A73" s="1">
        <v>17.07</v>
      </c>
      <c r="B73" s="1">
        <v>3</v>
      </c>
      <c r="C73" s="1" t="s">
        <v>7</v>
      </c>
      <c r="D73" s="1" t="s">
        <v>8</v>
      </c>
      <c r="E73" s="1" t="s">
        <v>12</v>
      </c>
      <c r="F73" s="1" t="s">
        <v>10</v>
      </c>
      <c r="G73" s="1">
        <v>3</v>
      </c>
    </row>
    <row r="74" spans="1:7" x14ac:dyDescent="0.25">
      <c r="A74" s="1">
        <v>26.86</v>
      </c>
      <c r="B74" s="1">
        <v>3.14</v>
      </c>
      <c r="C74" s="1" t="s">
        <v>7</v>
      </c>
      <c r="D74" s="1" t="s">
        <v>13</v>
      </c>
      <c r="E74" s="1" t="s">
        <v>12</v>
      </c>
      <c r="F74" s="1" t="s">
        <v>10</v>
      </c>
      <c r="G74" s="1">
        <v>2</v>
      </c>
    </row>
    <row r="75" spans="1:7" x14ac:dyDescent="0.25">
      <c r="A75" s="1">
        <v>25.28</v>
      </c>
      <c r="B75" s="1">
        <v>5</v>
      </c>
      <c r="C75" s="1" t="s">
        <v>7</v>
      </c>
      <c r="D75" s="1" t="s">
        <v>13</v>
      </c>
      <c r="E75" s="1" t="s">
        <v>12</v>
      </c>
      <c r="F75" s="1" t="s">
        <v>10</v>
      </c>
      <c r="G75" s="1">
        <v>2</v>
      </c>
    </row>
    <row r="76" spans="1:7" x14ac:dyDescent="0.25">
      <c r="A76" s="1">
        <v>14.73</v>
      </c>
      <c r="B76" s="1">
        <v>2.2000000000000002</v>
      </c>
      <c r="C76" s="1" t="s">
        <v>7</v>
      </c>
      <c r="D76" s="1" t="s">
        <v>8</v>
      </c>
      <c r="E76" s="1" t="s">
        <v>12</v>
      </c>
      <c r="F76" s="1" t="s">
        <v>10</v>
      </c>
      <c r="G76" s="1">
        <v>2</v>
      </c>
    </row>
    <row r="77" spans="1:7" x14ac:dyDescent="0.25">
      <c r="A77" s="1">
        <v>10.51</v>
      </c>
      <c r="B77" s="1">
        <v>1.25</v>
      </c>
      <c r="C77" s="1" t="s">
        <v>11</v>
      </c>
      <c r="D77" s="1" t="s">
        <v>8</v>
      </c>
      <c r="E77" s="1" t="s">
        <v>12</v>
      </c>
      <c r="F77" s="1" t="s">
        <v>10</v>
      </c>
      <c r="G77" s="1">
        <v>2</v>
      </c>
    </row>
    <row r="78" spans="1:7" x14ac:dyDescent="0.25">
      <c r="A78" s="1">
        <v>17.920000000000002</v>
      </c>
      <c r="B78" s="1">
        <v>3.08</v>
      </c>
      <c r="C78" s="1" t="s">
        <v>11</v>
      </c>
      <c r="D78" s="1" t="s">
        <v>13</v>
      </c>
      <c r="E78" s="1" t="s">
        <v>12</v>
      </c>
      <c r="F78" s="1" t="s">
        <v>10</v>
      </c>
      <c r="G78" s="1">
        <v>2</v>
      </c>
    </row>
    <row r="79" spans="1:7" x14ac:dyDescent="0.25">
      <c r="A79" s="1">
        <v>27.2</v>
      </c>
      <c r="B79" s="1">
        <v>4</v>
      </c>
      <c r="C79" s="1" t="s">
        <v>11</v>
      </c>
      <c r="D79" s="1" t="s">
        <v>8</v>
      </c>
      <c r="E79" s="1" t="s">
        <v>14</v>
      </c>
      <c r="F79" s="1" t="s">
        <v>15</v>
      </c>
      <c r="G79" s="1">
        <v>4</v>
      </c>
    </row>
    <row r="80" spans="1:7" x14ac:dyDescent="0.25">
      <c r="A80" s="1">
        <v>22.76</v>
      </c>
      <c r="B80" s="1">
        <v>3</v>
      </c>
      <c r="C80" s="1" t="s">
        <v>11</v>
      </c>
      <c r="D80" s="1" t="s">
        <v>8</v>
      </c>
      <c r="E80" s="1" t="s">
        <v>14</v>
      </c>
      <c r="F80" s="1" t="s">
        <v>15</v>
      </c>
      <c r="G80" s="1">
        <v>2</v>
      </c>
    </row>
    <row r="81" spans="1:7" x14ac:dyDescent="0.25">
      <c r="A81" s="1">
        <v>17.29</v>
      </c>
      <c r="B81" s="1">
        <v>2.71</v>
      </c>
      <c r="C81" s="1" t="s">
        <v>11</v>
      </c>
      <c r="D81" s="1" t="s">
        <v>8</v>
      </c>
      <c r="E81" s="1" t="s">
        <v>14</v>
      </c>
      <c r="F81" s="1" t="s">
        <v>15</v>
      </c>
      <c r="G81" s="1">
        <v>2</v>
      </c>
    </row>
    <row r="82" spans="1:7" x14ac:dyDescent="0.25">
      <c r="A82" s="1">
        <v>19.440000000000001</v>
      </c>
      <c r="B82" s="1">
        <v>3</v>
      </c>
      <c r="C82" s="1" t="s">
        <v>11</v>
      </c>
      <c r="D82" s="1" t="s">
        <v>13</v>
      </c>
      <c r="E82" s="1" t="s">
        <v>14</v>
      </c>
      <c r="F82" s="1" t="s">
        <v>15</v>
      </c>
      <c r="G82" s="1">
        <v>2</v>
      </c>
    </row>
    <row r="83" spans="1:7" x14ac:dyDescent="0.25">
      <c r="A83" s="1">
        <v>16.66</v>
      </c>
      <c r="B83" s="1">
        <v>3.4</v>
      </c>
      <c r="C83" s="1" t="s">
        <v>11</v>
      </c>
      <c r="D83" s="1" t="s">
        <v>8</v>
      </c>
      <c r="E83" s="1" t="s">
        <v>14</v>
      </c>
      <c r="F83" s="1" t="s">
        <v>15</v>
      </c>
      <c r="G83" s="1">
        <v>2</v>
      </c>
    </row>
    <row r="84" spans="1:7" x14ac:dyDescent="0.25">
      <c r="A84" s="1">
        <v>10.07</v>
      </c>
      <c r="B84" s="1">
        <v>1.83</v>
      </c>
      <c r="C84" s="1" t="s">
        <v>7</v>
      </c>
      <c r="D84" s="1" t="s">
        <v>8</v>
      </c>
      <c r="E84" s="1" t="s">
        <v>14</v>
      </c>
      <c r="F84" s="1" t="s">
        <v>15</v>
      </c>
      <c r="G84" s="1">
        <v>1</v>
      </c>
    </row>
    <row r="85" spans="1:7" x14ac:dyDescent="0.25">
      <c r="A85" s="1">
        <v>32.68</v>
      </c>
      <c r="B85" s="1">
        <v>5</v>
      </c>
      <c r="C85" s="1" t="s">
        <v>11</v>
      </c>
      <c r="D85" s="1" t="s">
        <v>13</v>
      </c>
      <c r="E85" s="1" t="s">
        <v>14</v>
      </c>
      <c r="F85" s="1" t="s">
        <v>15</v>
      </c>
      <c r="G85" s="1">
        <v>2</v>
      </c>
    </row>
    <row r="86" spans="1:7" x14ac:dyDescent="0.25">
      <c r="A86" s="1">
        <v>15.98</v>
      </c>
      <c r="B86" s="1">
        <v>2.0299999999999998</v>
      </c>
      <c r="C86" s="1" t="s">
        <v>11</v>
      </c>
      <c r="D86" s="1" t="s">
        <v>8</v>
      </c>
      <c r="E86" s="1" t="s">
        <v>14</v>
      </c>
      <c r="F86" s="1" t="s">
        <v>15</v>
      </c>
      <c r="G86" s="1">
        <v>2</v>
      </c>
    </row>
    <row r="87" spans="1:7" x14ac:dyDescent="0.25">
      <c r="A87" s="1">
        <v>34.83</v>
      </c>
      <c r="B87" s="1">
        <v>5.17</v>
      </c>
      <c r="C87" s="1" t="s">
        <v>7</v>
      </c>
      <c r="D87" s="1" t="s">
        <v>8</v>
      </c>
      <c r="E87" s="1" t="s">
        <v>14</v>
      </c>
      <c r="F87" s="1" t="s">
        <v>15</v>
      </c>
      <c r="G87" s="1">
        <v>4</v>
      </c>
    </row>
    <row r="88" spans="1:7" x14ac:dyDescent="0.25">
      <c r="A88" s="1">
        <v>13.03</v>
      </c>
      <c r="B88" s="1">
        <v>2</v>
      </c>
      <c r="C88" s="1" t="s">
        <v>11</v>
      </c>
      <c r="D88" s="1" t="s">
        <v>8</v>
      </c>
      <c r="E88" s="1" t="s">
        <v>14</v>
      </c>
      <c r="F88" s="1" t="s">
        <v>15</v>
      </c>
      <c r="G88" s="1">
        <v>2</v>
      </c>
    </row>
    <row r="89" spans="1:7" x14ac:dyDescent="0.25">
      <c r="A89" s="1">
        <v>18.28</v>
      </c>
      <c r="B89" s="1">
        <v>4</v>
      </c>
      <c r="C89" s="1" t="s">
        <v>11</v>
      </c>
      <c r="D89" s="1" t="s">
        <v>8</v>
      </c>
      <c r="E89" s="1" t="s">
        <v>14</v>
      </c>
      <c r="F89" s="1" t="s">
        <v>15</v>
      </c>
      <c r="G89" s="1">
        <v>2</v>
      </c>
    </row>
    <row r="90" spans="1:7" x14ac:dyDescent="0.25">
      <c r="A90" s="1">
        <v>24.71</v>
      </c>
      <c r="B90" s="1">
        <v>5.85</v>
      </c>
      <c r="C90" s="1" t="s">
        <v>11</v>
      </c>
      <c r="D90" s="1" t="s">
        <v>8</v>
      </c>
      <c r="E90" s="1" t="s">
        <v>14</v>
      </c>
      <c r="F90" s="1" t="s">
        <v>15</v>
      </c>
      <c r="G90" s="1">
        <v>2</v>
      </c>
    </row>
    <row r="91" spans="1:7" x14ac:dyDescent="0.25">
      <c r="A91" s="1">
        <v>21.16</v>
      </c>
      <c r="B91" s="1">
        <v>3</v>
      </c>
      <c r="C91" s="1" t="s">
        <v>11</v>
      </c>
      <c r="D91" s="1" t="s">
        <v>8</v>
      </c>
      <c r="E91" s="1" t="s">
        <v>14</v>
      </c>
      <c r="F91" s="1" t="s">
        <v>15</v>
      </c>
      <c r="G91" s="1">
        <v>2</v>
      </c>
    </row>
    <row r="92" spans="1:7" x14ac:dyDescent="0.25">
      <c r="A92" s="1">
        <v>28.97</v>
      </c>
      <c r="B92" s="1">
        <v>3</v>
      </c>
      <c r="C92" s="1" t="s">
        <v>11</v>
      </c>
      <c r="D92" s="1" t="s">
        <v>13</v>
      </c>
      <c r="E92" s="1" t="s">
        <v>16</v>
      </c>
      <c r="F92" s="1" t="s">
        <v>10</v>
      </c>
      <c r="G92" s="1">
        <v>2</v>
      </c>
    </row>
    <row r="93" spans="1:7" x14ac:dyDescent="0.25">
      <c r="A93" s="1">
        <v>22.49</v>
      </c>
      <c r="B93" s="1">
        <v>3.5</v>
      </c>
      <c r="C93" s="1" t="s">
        <v>11</v>
      </c>
      <c r="D93" s="1" t="s">
        <v>8</v>
      </c>
      <c r="E93" s="1" t="s">
        <v>16</v>
      </c>
      <c r="F93" s="1" t="s">
        <v>10</v>
      </c>
      <c r="G93" s="1">
        <v>2</v>
      </c>
    </row>
    <row r="94" spans="1:7" x14ac:dyDescent="0.25">
      <c r="A94" s="1">
        <v>5.75</v>
      </c>
      <c r="B94" s="1">
        <v>1</v>
      </c>
      <c r="C94" s="1" t="s">
        <v>7</v>
      </c>
      <c r="D94" s="1" t="s">
        <v>13</v>
      </c>
      <c r="E94" s="1" t="s">
        <v>16</v>
      </c>
      <c r="F94" s="1" t="s">
        <v>10</v>
      </c>
      <c r="G94" s="1">
        <v>2</v>
      </c>
    </row>
    <row r="95" spans="1:7" x14ac:dyDescent="0.25">
      <c r="A95" s="1">
        <v>16.32</v>
      </c>
      <c r="B95" s="1">
        <v>4.3</v>
      </c>
      <c r="C95" s="1" t="s">
        <v>7</v>
      </c>
      <c r="D95" s="1" t="s">
        <v>13</v>
      </c>
      <c r="E95" s="1" t="s">
        <v>16</v>
      </c>
      <c r="F95" s="1" t="s">
        <v>10</v>
      </c>
      <c r="G95" s="1">
        <v>2</v>
      </c>
    </row>
    <row r="96" spans="1:7" x14ac:dyDescent="0.25">
      <c r="A96" s="1">
        <v>22.75</v>
      </c>
      <c r="B96" s="1">
        <v>3.25</v>
      </c>
      <c r="C96" s="1" t="s">
        <v>7</v>
      </c>
      <c r="D96" s="1" t="s">
        <v>8</v>
      </c>
      <c r="E96" s="1" t="s">
        <v>16</v>
      </c>
      <c r="F96" s="1" t="s">
        <v>10</v>
      </c>
      <c r="G96" s="1">
        <v>2</v>
      </c>
    </row>
    <row r="97" spans="1:7" x14ac:dyDescent="0.25">
      <c r="A97" s="1">
        <v>40.17</v>
      </c>
      <c r="B97" s="1">
        <v>4.7300000000000004</v>
      </c>
      <c r="C97" s="1" t="s">
        <v>11</v>
      </c>
      <c r="D97" s="1" t="s">
        <v>13</v>
      </c>
      <c r="E97" s="1" t="s">
        <v>16</v>
      </c>
      <c r="F97" s="1" t="s">
        <v>10</v>
      </c>
      <c r="G97" s="1">
        <v>4</v>
      </c>
    </row>
    <row r="98" spans="1:7" x14ac:dyDescent="0.25">
      <c r="A98" s="1">
        <v>27.28</v>
      </c>
      <c r="B98" s="1">
        <v>4</v>
      </c>
      <c r="C98" s="1" t="s">
        <v>11</v>
      </c>
      <c r="D98" s="1" t="s">
        <v>13</v>
      </c>
      <c r="E98" s="1" t="s">
        <v>16</v>
      </c>
      <c r="F98" s="1" t="s">
        <v>10</v>
      </c>
      <c r="G98" s="1">
        <v>2</v>
      </c>
    </row>
    <row r="99" spans="1:7" x14ac:dyDescent="0.25">
      <c r="A99" s="1">
        <v>12.03</v>
      </c>
      <c r="B99" s="1">
        <v>1.5</v>
      </c>
      <c r="C99" s="1" t="s">
        <v>11</v>
      </c>
      <c r="D99" s="1" t="s">
        <v>13</v>
      </c>
      <c r="E99" s="1" t="s">
        <v>16</v>
      </c>
      <c r="F99" s="1" t="s">
        <v>10</v>
      </c>
      <c r="G99" s="1">
        <v>2</v>
      </c>
    </row>
    <row r="100" spans="1:7" x14ac:dyDescent="0.25">
      <c r="A100" s="1">
        <v>21.01</v>
      </c>
      <c r="B100" s="1">
        <v>3</v>
      </c>
      <c r="C100" s="1" t="s">
        <v>11</v>
      </c>
      <c r="D100" s="1" t="s">
        <v>13</v>
      </c>
      <c r="E100" s="1" t="s">
        <v>16</v>
      </c>
      <c r="F100" s="1" t="s">
        <v>10</v>
      </c>
      <c r="G100" s="1">
        <v>2</v>
      </c>
    </row>
    <row r="101" spans="1:7" x14ac:dyDescent="0.25">
      <c r="A101" s="1">
        <v>12.46</v>
      </c>
      <c r="B101" s="1">
        <v>1.5</v>
      </c>
      <c r="C101" s="1" t="s">
        <v>11</v>
      </c>
      <c r="D101" s="1" t="s">
        <v>8</v>
      </c>
      <c r="E101" s="1" t="s">
        <v>16</v>
      </c>
      <c r="F101" s="1" t="s">
        <v>10</v>
      </c>
      <c r="G101" s="1">
        <v>2</v>
      </c>
    </row>
    <row r="102" spans="1:7" x14ac:dyDescent="0.25">
      <c r="A102" s="1">
        <v>11.35</v>
      </c>
      <c r="B102" s="1">
        <v>2.5</v>
      </c>
      <c r="C102" s="1" t="s">
        <v>7</v>
      </c>
      <c r="D102" s="1" t="s">
        <v>13</v>
      </c>
      <c r="E102" s="1" t="s">
        <v>16</v>
      </c>
      <c r="F102" s="1" t="s">
        <v>10</v>
      </c>
      <c r="G102" s="1">
        <v>2</v>
      </c>
    </row>
    <row r="103" spans="1:7" x14ac:dyDescent="0.25">
      <c r="A103" s="1">
        <v>15.38</v>
      </c>
      <c r="B103" s="1">
        <v>3</v>
      </c>
      <c r="C103" s="1" t="s">
        <v>7</v>
      </c>
      <c r="D103" s="1" t="s">
        <v>13</v>
      </c>
      <c r="E103" s="1" t="s">
        <v>16</v>
      </c>
      <c r="F103" s="1" t="s">
        <v>10</v>
      </c>
      <c r="G103" s="1">
        <v>2</v>
      </c>
    </row>
    <row r="104" spans="1:7" x14ac:dyDescent="0.25">
      <c r="A104" s="1">
        <v>44.3</v>
      </c>
      <c r="B104" s="1">
        <v>2.5</v>
      </c>
      <c r="C104" s="1" t="s">
        <v>7</v>
      </c>
      <c r="D104" s="1" t="s">
        <v>13</v>
      </c>
      <c r="E104" s="1" t="s">
        <v>12</v>
      </c>
      <c r="F104" s="1" t="s">
        <v>10</v>
      </c>
      <c r="G104" s="1">
        <v>3</v>
      </c>
    </row>
    <row r="105" spans="1:7" x14ac:dyDescent="0.25">
      <c r="A105" s="1">
        <v>22.42</v>
      </c>
      <c r="B105" s="1">
        <v>3.48</v>
      </c>
      <c r="C105" s="1" t="s">
        <v>7</v>
      </c>
      <c r="D105" s="1" t="s">
        <v>13</v>
      </c>
      <c r="E105" s="1" t="s">
        <v>12</v>
      </c>
      <c r="F105" s="1" t="s">
        <v>10</v>
      </c>
      <c r="G105" s="1">
        <v>2</v>
      </c>
    </row>
    <row r="106" spans="1:7" x14ac:dyDescent="0.25">
      <c r="A106" s="1">
        <v>20.92</v>
      </c>
      <c r="B106" s="1">
        <v>4.08</v>
      </c>
      <c r="C106" s="1" t="s">
        <v>7</v>
      </c>
      <c r="D106" s="1" t="s">
        <v>8</v>
      </c>
      <c r="E106" s="1" t="s">
        <v>12</v>
      </c>
      <c r="F106" s="1" t="s">
        <v>10</v>
      </c>
      <c r="G106" s="1">
        <v>2</v>
      </c>
    </row>
    <row r="107" spans="1:7" x14ac:dyDescent="0.25">
      <c r="A107" s="1">
        <v>15.36</v>
      </c>
      <c r="B107" s="1">
        <v>1.64</v>
      </c>
      <c r="C107" s="1" t="s">
        <v>11</v>
      </c>
      <c r="D107" s="1" t="s">
        <v>13</v>
      </c>
      <c r="E107" s="1" t="s">
        <v>12</v>
      </c>
      <c r="F107" s="1" t="s">
        <v>10</v>
      </c>
      <c r="G107" s="1">
        <v>2</v>
      </c>
    </row>
    <row r="108" spans="1:7" x14ac:dyDescent="0.25">
      <c r="A108" s="1">
        <v>20.49</v>
      </c>
      <c r="B108" s="1">
        <v>4.0599999999999996</v>
      </c>
      <c r="C108" s="1" t="s">
        <v>11</v>
      </c>
      <c r="D108" s="1" t="s">
        <v>13</v>
      </c>
      <c r="E108" s="1" t="s">
        <v>12</v>
      </c>
      <c r="F108" s="1" t="s">
        <v>10</v>
      </c>
      <c r="G108" s="1">
        <v>2</v>
      </c>
    </row>
    <row r="109" spans="1:7" x14ac:dyDescent="0.25">
      <c r="A109" s="1">
        <v>25.21</v>
      </c>
      <c r="B109" s="1">
        <v>4.29</v>
      </c>
      <c r="C109" s="1" t="s">
        <v>11</v>
      </c>
      <c r="D109" s="1" t="s">
        <v>13</v>
      </c>
      <c r="E109" s="1" t="s">
        <v>12</v>
      </c>
      <c r="F109" s="1" t="s">
        <v>10</v>
      </c>
      <c r="G109" s="1">
        <v>2</v>
      </c>
    </row>
    <row r="110" spans="1:7" x14ac:dyDescent="0.25">
      <c r="A110" s="1">
        <v>18.239999999999998</v>
      </c>
      <c r="B110" s="1">
        <v>3.76</v>
      </c>
      <c r="C110" s="1" t="s">
        <v>11</v>
      </c>
      <c r="D110" s="1" t="s">
        <v>8</v>
      </c>
      <c r="E110" s="1" t="s">
        <v>12</v>
      </c>
      <c r="F110" s="1" t="s">
        <v>10</v>
      </c>
      <c r="G110" s="1">
        <v>2</v>
      </c>
    </row>
    <row r="111" spans="1:7" x14ac:dyDescent="0.25">
      <c r="A111" s="1">
        <v>14.31</v>
      </c>
      <c r="B111" s="1">
        <v>4</v>
      </c>
      <c r="C111" s="1" t="s">
        <v>7</v>
      </c>
      <c r="D111" s="1" t="s">
        <v>13</v>
      </c>
      <c r="E111" s="1" t="s">
        <v>12</v>
      </c>
      <c r="F111" s="1" t="s">
        <v>10</v>
      </c>
      <c r="G111" s="1">
        <v>2</v>
      </c>
    </row>
    <row r="112" spans="1:7" x14ac:dyDescent="0.25">
      <c r="A112" s="1">
        <v>14</v>
      </c>
      <c r="B112" s="1">
        <v>3</v>
      </c>
      <c r="C112" s="1" t="s">
        <v>11</v>
      </c>
      <c r="D112" s="1" t="s">
        <v>8</v>
      </c>
      <c r="E112" s="1" t="s">
        <v>12</v>
      </c>
      <c r="F112" s="1" t="s">
        <v>10</v>
      </c>
      <c r="G112" s="1">
        <v>2</v>
      </c>
    </row>
    <row r="113" spans="1:7" x14ac:dyDescent="0.25">
      <c r="A113" s="1">
        <v>7.25</v>
      </c>
      <c r="B113" s="1">
        <v>1</v>
      </c>
      <c r="C113" s="1" t="s">
        <v>7</v>
      </c>
      <c r="D113" s="1" t="s">
        <v>8</v>
      </c>
      <c r="E113" s="1" t="s">
        <v>12</v>
      </c>
      <c r="F113" s="1" t="s">
        <v>10</v>
      </c>
      <c r="G113" s="1">
        <v>1</v>
      </c>
    </row>
    <row r="114" spans="1:7" x14ac:dyDescent="0.25">
      <c r="A114" s="1">
        <v>38.07</v>
      </c>
      <c r="B114" s="1">
        <v>4</v>
      </c>
      <c r="C114" s="1" t="s">
        <v>11</v>
      </c>
      <c r="D114" s="1" t="s">
        <v>8</v>
      </c>
      <c r="E114" s="1" t="s">
        <v>9</v>
      </c>
      <c r="F114" s="1" t="s">
        <v>10</v>
      </c>
      <c r="G114" s="1">
        <v>3</v>
      </c>
    </row>
    <row r="115" spans="1:7" x14ac:dyDescent="0.25">
      <c r="A115" s="1">
        <v>23.95</v>
      </c>
      <c r="B115" s="1">
        <v>2.5499999999999998</v>
      </c>
      <c r="C115" s="1" t="s">
        <v>11</v>
      </c>
      <c r="D115" s="1" t="s">
        <v>8</v>
      </c>
      <c r="E115" s="1" t="s">
        <v>9</v>
      </c>
      <c r="F115" s="1" t="s">
        <v>10</v>
      </c>
      <c r="G115" s="1">
        <v>2</v>
      </c>
    </row>
    <row r="116" spans="1:7" x14ac:dyDescent="0.25">
      <c r="A116" s="1">
        <v>25.71</v>
      </c>
      <c r="B116" s="1">
        <v>4</v>
      </c>
      <c r="C116" s="1" t="s">
        <v>7</v>
      </c>
      <c r="D116" s="1" t="s">
        <v>8</v>
      </c>
      <c r="E116" s="1" t="s">
        <v>9</v>
      </c>
      <c r="F116" s="1" t="s">
        <v>10</v>
      </c>
      <c r="G116" s="1">
        <v>3</v>
      </c>
    </row>
    <row r="117" spans="1:7" x14ac:dyDescent="0.25">
      <c r="A117" s="1">
        <v>17.309999999999999</v>
      </c>
      <c r="B117" s="1">
        <v>3.5</v>
      </c>
      <c r="C117" s="1" t="s">
        <v>7</v>
      </c>
      <c r="D117" s="1" t="s">
        <v>8</v>
      </c>
      <c r="E117" s="1" t="s">
        <v>9</v>
      </c>
      <c r="F117" s="1" t="s">
        <v>10</v>
      </c>
      <c r="G117" s="1">
        <v>2</v>
      </c>
    </row>
    <row r="118" spans="1:7" x14ac:dyDescent="0.25">
      <c r="A118" s="1">
        <v>29.93</v>
      </c>
      <c r="B118" s="1">
        <v>5.07</v>
      </c>
      <c r="C118" s="1" t="s">
        <v>11</v>
      </c>
      <c r="D118" s="1" t="s">
        <v>8</v>
      </c>
      <c r="E118" s="1" t="s">
        <v>9</v>
      </c>
      <c r="F118" s="1" t="s">
        <v>10</v>
      </c>
      <c r="G118" s="1">
        <v>4</v>
      </c>
    </row>
    <row r="119" spans="1:7" x14ac:dyDescent="0.25">
      <c r="A119" s="1">
        <v>10.65</v>
      </c>
      <c r="B119" s="1">
        <v>1.5</v>
      </c>
      <c r="C119" s="1" t="s">
        <v>7</v>
      </c>
      <c r="D119" s="1" t="s">
        <v>8</v>
      </c>
      <c r="E119" s="1" t="s">
        <v>14</v>
      </c>
      <c r="F119" s="1" t="s">
        <v>15</v>
      </c>
      <c r="G119" s="1">
        <v>2</v>
      </c>
    </row>
    <row r="120" spans="1:7" x14ac:dyDescent="0.25">
      <c r="A120" s="1">
        <v>12.43</v>
      </c>
      <c r="B120" s="1">
        <v>1.8</v>
      </c>
      <c r="C120" s="1" t="s">
        <v>7</v>
      </c>
      <c r="D120" s="1" t="s">
        <v>8</v>
      </c>
      <c r="E120" s="1" t="s">
        <v>14</v>
      </c>
      <c r="F120" s="1" t="s">
        <v>15</v>
      </c>
      <c r="G120" s="1">
        <v>2</v>
      </c>
    </row>
    <row r="121" spans="1:7" x14ac:dyDescent="0.25">
      <c r="A121" s="1">
        <v>24.08</v>
      </c>
      <c r="B121" s="1">
        <v>2.92</v>
      </c>
      <c r="C121" s="1" t="s">
        <v>7</v>
      </c>
      <c r="D121" s="1" t="s">
        <v>8</v>
      </c>
      <c r="E121" s="1" t="s">
        <v>14</v>
      </c>
      <c r="F121" s="1" t="s">
        <v>15</v>
      </c>
      <c r="G121" s="1">
        <v>4</v>
      </c>
    </row>
    <row r="122" spans="1:7" x14ac:dyDescent="0.25">
      <c r="A122" s="1">
        <v>11.69</v>
      </c>
      <c r="B122" s="1">
        <v>2.31</v>
      </c>
      <c r="C122" s="1" t="s">
        <v>11</v>
      </c>
      <c r="D122" s="1" t="s">
        <v>8</v>
      </c>
      <c r="E122" s="1" t="s">
        <v>14</v>
      </c>
      <c r="F122" s="1" t="s">
        <v>15</v>
      </c>
      <c r="G122" s="1">
        <v>2</v>
      </c>
    </row>
    <row r="123" spans="1:7" x14ac:dyDescent="0.25">
      <c r="A123" s="1">
        <v>13.42</v>
      </c>
      <c r="B123" s="1">
        <v>1.68</v>
      </c>
      <c r="C123" s="1" t="s">
        <v>7</v>
      </c>
      <c r="D123" s="1" t="s">
        <v>8</v>
      </c>
      <c r="E123" s="1" t="s">
        <v>14</v>
      </c>
      <c r="F123" s="1" t="s">
        <v>15</v>
      </c>
      <c r="G123" s="1">
        <v>2</v>
      </c>
    </row>
    <row r="124" spans="1:7" x14ac:dyDescent="0.25">
      <c r="A124" s="1">
        <v>14.26</v>
      </c>
      <c r="B124" s="1">
        <v>2.5</v>
      </c>
      <c r="C124" s="1" t="s">
        <v>11</v>
      </c>
      <c r="D124" s="1" t="s">
        <v>8</v>
      </c>
      <c r="E124" s="1" t="s">
        <v>14</v>
      </c>
      <c r="F124" s="1" t="s">
        <v>15</v>
      </c>
      <c r="G124" s="1">
        <v>2</v>
      </c>
    </row>
    <row r="125" spans="1:7" x14ac:dyDescent="0.25">
      <c r="A125" s="1">
        <v>15.95</v>
      </c>
      <c r="B125" s="1">
        <v>2</v>
      </c>
      <c r="C125" s="1" t="s">
        <v>11</v>
      </c>
      <c r="D125" s="1" t="s">
        <v>8</v>
      </c>
      <c r="E125" s="1" t="s">
        <v>14</v>
      </c>
      <c r="F125" s="1" t="s">
        <v>15</v>
      </c>
      <c r="G125" s="1">
        <v>2</v>
      </c>
    </row>
    <row r="126" spans="1:7" x14ac:dyDescent="0.25">
      <c r="A126" s="1">
        <v>12.48</v>
      </c>
      <c r="B126" s="1">
        <v>2.52</v>
      </c>
      <c r="C126" s="1" t="s">
        <v>7</v>
      </c>
      <c r="D126" s="1" t="s">
        <v>8</v>
      </c>
      <c r="E126" s="1" t="s">
        <v>14</v>
      </c>
      <c r="F126" s="1" t="s">
        <v>15</v>
      </c>
      <c r="G126" s="1">
        <v>2</v>
      </c>
    </row>
    <row r="127" spans="1:7" x14ac:dyDescent="0.25">
      <c r="A127" s="1">
        <v>29.8</v>
      </c>
      <c r="B127" s="1">
        <v>4.2</v>
      </c>
      <c r="C127" s="1" t="s">
        <v>7</v>
      </c>
      <c r="D127" s="1" t="s">
        <v>8</v>
      </c>
      <c r="E127" s="1" t="s">
        <v>14</v>
      </c>
      <c r="F127" s="1" t="s">
        <v>15</v>
      </c>
      <c r="G127" s="1">
        <v>6</v>
      </c>
    </row>
    <row r="128" spans="1:7" x14ac:dyDescent="0.25">
      <c r="A128" s="1">
        <v>8.52</v>
      </c>
      <c r="B128" s="1">
        <v>1.48</v>
      </c>
      <c r="C128" s="1" t="s">
        <v>11</v>
      </c>
      <c r="D128" s="1" t="s">
        <v>8</v>
      </c>
      <c r="E128" s="1" t="s">
        <v>14</v>
      </c>
      <c r="F128" s="1" t="s">
        <v>15</v>
      </c>
      <c r="G128" s="1">
        <v>2</v>
      </c>
    </row>
    <row r="129" spans="1:7" x14ac:dyDescent="0.25">
      <c r="A129" s="1">
        <v>14.52</v>
      </c>
      <c r="B129" s="1">
        <v>2</v>
      </c>
      <c r="C129" s="1" t="s">
        <v>7</v>
      </c>
      <c r="D129" s="1" t="s">
        <v>8</v>
      </c>
      <c r="E129" s="1" t="s">
        <v>14</v>
      </c>
      <c r="F129" s="1" t="s">
        <v>15</v>
      </c>
      <c r="G129" s="1">
        <v>2</v>
      </c>
    </row>
    <row r="130" spans="1:7" x14ac:dyDescent="0.25">
      <c r="A130" s="1">
        <v>11.38</v>
      </c>
      <c r="B130" s="1">
        <v>2</v>
      </c>
      <c r="C130" s="1" t="s">
        <v>7</v>
      </c>
      <c r="D130" s="1" t="s">
        <v>8</v>
      </c>
      <c r="E130" s="1" t="s">
        <v>14</v>
      </c>
      <c r="F130" s="1" t="s">
        <v>15</v>
      </c>
      <c r="G130" s="1">
        <v>2</v>
      </c>
    </row>
    <row r="131" spans="1:7" x14ac:dyDescent="0.25">
      <c r="A131" s="1">
        <v>22.82</v>
      </c>
      <c r="B131" s="1">
        <v>2.1800000000000002</v>
      </c>
      <c r="C131" s="1" t="s">
        <v>11</v>
      </c>
      <c r="D131" s="1" t="s">
        <v>8</v>
      </c>
      <c r="E131" s="1" t="s">
        <v>14</v>
      </c>
      <c r="F131" s="1" t="s">
        <v>15</v>
      </c>
      <c r="G131" s="1">
        <v>3</v>
      </c>
    </row>
    <row r="132" spans="1:7" x14ac:dyDescent="0.25">
      <c r="A132" s="1">
        <v>19.079999999999998</v>
      </c>
      <c r="B132" s="1">
        <v>1.5</v>
      </c>
      <c r="C132" s="1" t="s">
        <v>11</v>
      </c>
      <c r="D132" s="1" t="s">
        <v>8</v>
      </c>
      <c r="E132" s="1" t="s">
        <v>14</v>
      </c>
      <c r="F132" s="1" t="s">
        <v>15</v>
      </c>
      <c r="G132" s="1">
        <v>2</v>
      </c>
    </row>
    <row r="133" spans="1:7" x14ac:dyDescent="0.25">
      <c r="A133" s="1">
        <v>20.27</v>
      </c>
      <c r="B133" s="1">
        <v>2.83</v>
      </c>
      <c r="C133" s="1" t="s">
        <v>7</v>
      </c>
      <c r="D133" s="1" t="s">
        <v>8</v>
      </c>
      <c r="E133" s="1" t="s">
        <v>14</v>
      </c>
      <c r="F133" s="1" t="s">
        <v>15</v>
      </c>
      <c r="G133" s="1">
        <v>2</v>
      </c>
    </row>
    <row r="134" spans="1:7" x14ac:dyDescent="0.25">
      <c r="A134" s="1">
        <v>11.17</v>
      </c>
      <c r="B134" s="1">
        <v>1.5</v>
      </c>
      <c r="C134" s="1" t="s">
        <v>7</v>
      </c>
      <c r="D134" s="1" t="s">
        <v>8</v>
      </c>
      <c r="E134" s="1" t="s">
        <v>14</v>
      </c>
      <c r="F134" s="1" t="s">
        <v>15</v>
      </c>
      <c r="G134" s="1">
        <v>2</v>
      </c>
    </row>
    <row r="135" spans="1:7" x14ac:dyDescent="0.25">
      <c r="A135" s="1">
        <v>12.26</v>
      </c>
      <c r="B135" s="1">
        <v>2</v>
      </c>
      <c r="C135" s="1" t="s">
        <v>7</v>
      </c>
      <c r="D135" s="1" t="s">
        <v>8</v>
      </c>
      <c r="E135" s="1" t="s">
        <v>14</v>
      </c>
      <c r="F135" s="1" t="s">
        <v>15</v>
      </c>
      <c r="G135" s="1">
        <v>2</v>
      </c>
    </row>
    <row r="136" spans="1:7" x14ac:dyDescent="0.25">
      <c r="A136" s="1">
        <v>18.260000000000002</v>
      </c>
      <c r="B136" s="1">
        <v>3.25</v>
      </c>
      <c r="C136" s="1" t="s">
        <v>7</v>
      </c>
      <c r="D136" s="1" t="s">
        <v>8</v>
      </c>
      <c r="E136" s="1" t="s">
        <v>14</v>
      </c>
      <c r="F136" s="1" t="s">
        <v>15</v>
      </c>
      <c r="G136" s="1">
        <v>2</v>
      </c>
    </row>
    <row r="137" spans="1:7" x14ac:dyDescent="0.25">
      <c r="A137" s="1">
        <v>8.51</v>
      </c>
      <c r="B137" s="1">
        <v>1.25</v>
      </c>
      <c r="C137" s="1" t="s">
        <v>7</v>
      </c>
      <c r="D137" s="1" t="s">
        <v>8</v>
      </c>
      <c r="E137" s="1" t="s">
        <v>14</v>
      </c>
      <c r="F137" s="1" t="s">
        <v>15</v>
      </c>
      <c r="G137" s="1">
        <v>2</v>
      </c>
    </row>
    <row r="138" spans="1:7" x14ac:dyDescent="0.25">
      <c r="A138" s="1">
        <v>10.33</v>
      </c>
      <c r="B138" s="1">
        <v>2</v>
      </c>
      <c r="C138" s="1" t="s">
        <v>7</v>
      </c>
      <c r="D138" s="1" t="s">
        <v>8</v>
      </c>
      <c r="E138" s="1" t="s">
        <v>14</v>
      </c>
      <c r="F138" s="1" t="s">
        <v>15</v>
      </c>
      <c r="G138" s="1">
        <v>2</v>
      </c>
    </row>
    <row r="139" spans="1:7" x14ac:dyDescent="0.25">
      <c r="A139" s="1">
        <v>14.15</v>
      </c>
      <c r="B139" s="1">
        <v>2</v>
      </c>
      <c r="C139" s="1" t="s">
        <v>7</v>
      </c>
      <c r="D139" s="1" t="s">
        <v>8</v>
      </c>
      <c r="E139" s="1" t="s">
        <v>14</v>
      </c>
      <c r="F139" s="1" t="s">
        <v>15</v>
      </c>
      <c r="G139" s="1">
        <v>2</v>
      </c>
    </row>
    <row r="140" spans="1:7" x14ac:dyDescent="0.25">
      <c r="A140" s="1">
        <v>16</v>
      </c>
      <c r="B140" s="1">
        <v>2</v>
      </c>
      <c r="C140" s="1" t="s">
        <v>11</v>
      </c>
      <c r="D140" s="1" t="s">
        <v>13</v>
      </c>
      <c r="E140" s="1" t="s">
        <v>14</v>
      </c>
      <c r="F140" s="1" t="s">
        <v>15</v>
      </c>
      <c r="G140" s="1">
        <v>2</v>
      </c>
    </row>
    <row r="141" spans="1:7" x14ac:dyDescent="0.25">
      <c r="A141" s="1">
        <v>13.16</v>
      </c>
      <c r="B141" s="1">
        <v>2.75</v>
      </c>
      <c r="C141" s="1" t="s">
        <v>7</v>
      </c>
      <c r="D141" s="1" t="s">
        <v>8</v>
      </c>
      <c r="E141" s="1" t="s">
        <v>14</v>
      </c>
      <c r="F141" s="1" t="s">
        <v>15</v>
      </c>
      <c r="G141" s="1">
        <v>2</v>
      </c>
    </row>
    <row r="142" spans="1:7" x14ac:dyDescent="0.25">
      <c r="A142" s="1">
        <v>17.47</v>
      </c>
      <c r="B142" s="1">
        <v>3.5</v>
      </c>
      <c r="C142" s="1" t="s">
        <v>7</v>
      </c>
      <c r="D142" s="1" t="s">
        <v>8</v>
      </c>
      <c r="E142" s="1" t="s">
        <v>14</v>
      </c>
      <c r="F142" s="1" t="s">
        <v>15</v>
      </c>
      <c r="G142" s="1">
        <v>2</v>
      </c>
    </row>
    <row r="143" spans="1:7" x14ac:dyDescent="0.25">
      <c r="A143" s="1">
        <v>34.299999999999997</v>
      </c>
      <c r="B143" s="1">
        <v>6.7</v>
      </c>
      <c r="C143" s="1" t="s">
        <v>11</v>
      </c>
      <c r="D143" s="1" t="s">
        <v>8</v>
      </c>
      <c r="E143" s="1" t="s">
        <v>14</v>
      </c>
      <c r="F143" s="1" t="s">
        <v>15</v>
      </c>
      <c r="G143" s="1">
        <v>6</v>
      </c>
    </row>
    <row r="144" spans="1:7" x14ac:dyDescent="0.25">
      <c r="A144" s="1">
        <v>41.19</v>
      </c>
      <c r="B144" s="1">
        <v>5</v>
      </c>
      <c r="C144" s="1" t="s">
        <v>11</v>
      </c>
      <c r="D144" s="1" t="s">
        <v>8</v>
      </c>
      <c r="E144" s="1" t="s">
        <v>14</v>
      </c>
      <c r="F144" s="1" t="s">
        <v>15</v>
      </c>
      <c r="G144" s="1">
        <v>5</v>
      </c>
    </row>
    <row r="145" spans="1:7" x14ac:dyDescent="0.25">
      <c r="A145" s="1">
        <v>27.05</v>
      </c>
      <c r="B145" s="1">
        <v>5</v>
      </c>
      <c r="C145" s="1" t="s">
        <v>7</v>
      </c>
      <c r="D145" s="1" t="s">
        <v>8</v>
      </c>
      <c r="E145" s="1" t="s">
        <v>14</v>
      </c>
      <c r="F145" s="1" t="s">
        <v>15</v>
      </c>
      <c r="G145" s="1">
        <v>6</v>
      </c>
    </row>
    <row r="146" spans="1:7" x14ac:dyDescent="0.25">
      <c r="A146" s="1">
        <v>16.43</v>
      </c>
      <c r="B146" s="1">
        <v>2.2999999999999998</v>
      </c>
      <c r="C146" s="1" t="s">
        <v>7</v>
      </c>
      <c r="D146" s="1" t="s">
        <v>8</v>
      </c>
      <c r="E146" s="1" t="s">
        <v>14</v>
      </c>
      <c r="F146" s="1" t="s">
        <v>15</v>
      </c>
      <c r="G146" s="1">
        <v>2</v>
      </c>
    </row>
    <row r="147" spans="1:7" x14ac:dyDescent="0.25">
      <c r="A147" s="1">
        <v>8.35</v>
      </c>
      <c r="B147" s="1">
        <v>1.5</v>
      </c>
      <c r="C147" s="1" t="s">
        <v>7</v>
      </c>
      <c r="D147" s="1" t="s">
        <v>8</v>
      </c>
      <c r="E147" s="1" t="s">
        <v>14</v>
      </c>
      <c r="F147" s="1" t="s">
        <v>15</v>
      </c>
      <c r="G147" s="1">
        <v>2</v>
      </c>
    </row>
    <row r="148" spans="1:7" x14ac:dyDescent="0.25">
      <c r="A148" s="1">
        <v>18.64</v>
      </c>
      <c r="B148" s="1">
        <v>1.36</v>
      </c>
      <c r="C148" s="1" t="s">
        <v>7</v>
      </c>
      <c r="D148" s="1" t="s">
        <v>8</v>
      </c>
      <c r="E148" s="1" t="s">
        <v>14</v>
      </c>
      <c r="F148" s="1" t="s">
        <v>15</v>
      </c>
      <c r="G148" s="1">
        <v>3</v>
      </c>
    </row>
    <row r="149" spans="1:7" x14ac:dyDescent="0.25">
      <c r="A149" s="1">
        <v>11.87</v>
      </c>
      <c r="B149" s="1">
        <v>1.63</v>
      </c>
      <c r="C149" s="1" t="s">
        <v>7</v>
      </c>
      <c r="D149" s="1" t="s">
        <v>8</v>
      </c>
      <c r="E149" s="1" t="s">
        <v>14</v>
      </c>
      <c r="F149" s="1" t="s">
        <v>15</v>
      </c>
      <c r="G149" s="1">
        <v>2</v>
      </c>
    </row>
    <row r="150" spans="1:7" x14ac:dyDescent="0.25">
      <c r="A150" s="1">
        <v>9.7799999999999994</v>
      </c>
      <c r="B150" s="1">
        <v>1.73</v>
      </c>
      <c r="C150" s="1" t="s">
        <v>11</v>
      </c>
      <c r="D150" s="1" t="s">
        <v>8</v>
      </c>
      <c r="E150" s="1" t="s">
        <v>14</v>
      </c>
      <c r="F150" s="1" t="s">
        <v>15</v>
      </c>
      <c r="G150" s="1">
        <v>2</v>
      </c>
    </row>
    <row r="151" spans="1:7" x14ac:dyDescent="0.25">
      <c r="A151" s="1">
        <v>7.51</v>
      </c>
      <c r="B151" s="1">
        <v>2</v>
      </c>
      <c r="C151" s="1" t="s">
        <v>11</v>
      </c>
      <c r="D151" s="1" t="s">
        <v>8</v>
      </c>
      <c r="E151" s="1" t="s">
        <v>14</v>
      </c>
      <c r="F151" s="1" t="s">
        <v>15</v>
      </c>
      <c r="G151" s="1">
        <v>2</v>
      </c>
    </row>
    <row r="152" spans="1:7" x14ac:dyDescent="0.25">
      <c r="A152" s="1">
        <v>14.07</v>
      </c>
      <c r="B152" s="1">
        <v>2.5</v>
      </c>
      <c r="C152" s="1" t="s">
        <v>11</v>
      </c>
      <c r="D152" s="1" t="s">
        <v>8</v>
      </c>
      <c r="E152" s="1" t="s">
        <v>9</v>
      </c>
      <c r="F152" s="1" t="s">
        <v>10</v>
      </c>
      <c r="G152" s="1">
        <v>2</v>
      </c>
    </row>
    <row r="153" spans="1:7" x14ac:dyDescent="0.25">
      <c r="A153" s="1">
        <v>13.13</v>
      </c>
      <c r="B153" s="1">
        <v>2</v>
      </c>
      <c r="C153" s="1" t="s">
        <v>11</v>
      </c>
      <c r="D153" s="1" t="s">
        <v>8</v>
      </c>
      <c r="E153" s="1" t="s">
        <v>9</v>
      </c>
      <c r="F153" s="1" t="s">
        <v>10</v>
      </c>
      <c r="G153" s="1">
        <v>2</v>
      </c>
    </row>
    <row r="154" spans="1:7" x14ac:dyDescent="0.25">
      <c r="A154" s="1">
        <v>17.260000000000002</v>
      </c>
      <c r="B154" s="1">
        <v>2.74</v>
      </c>
      <c r="C154" s="1" t="s">
        <v>11</v>
      </c>
      <c r="D154" s="1" t="s">
        <v>8</v>
      </c>
      <c r="E154" s="1" t="s">
        <v>9</v>
      </c>
      <c r="F154" s="1" t="s">
        <v>10</v>
      </c>
      <c r="G154" s="1">
        <v>3</v>
      </c>
    </row>
    <row r="155" spans="1:7" x14ac:dyDescent="0.25">
      <c r="A155" s="1">
        <v>24.55</v>
      </c>
      <c r="B155" s="1">
        <v>2</v>
      </c>
      <c r="C155" s="1" t="s">
        <v>11</v>
      </c>
      <c r="D155" s="1" t="s">
        <v>8</v>
      </c>
      <c r="E155" s="1" t="s">
        <v>9</v>
      </c>
      <c r="F155" s="1" t="s">
        <v>10</v>
      </c>
      <c r="G155" s="1">
        <v>4</v>
      </c>
    </row>
    <row r="156" spans="1:7" x14ac:dyDescent="0.25">
      <c r="A156" s="1">
        <v>19.77</v>
      </c>
      <c r="B156" s="1">
        <v>2</v>
      </c>
      <c r="C156" s="1" t="s">
        <v>11</v>
      </c>
      <c r="D156" s="1" t="s">
        <v>8</v>
      </c>
      <c r="E156" s="1" t="s">
        <v>9</v>
      </c>
      <c r="F156" s="1" t="s">
        <v>10</v>
      </c>
      <c r="G156" s="1">
        <v>4</v>
      </c>
    </row>
    <row r="157" spans="1:7" x14ac:dyDescent="0.25">
      <c r="A157" s="1">
        <v>29.85</v>
      </c>
      <c r="B157" s="1">
        <v>5.14</v>
      </c>
      <c r="C157" s="1" t="s">
        <v>7</v>
      </c>
      <c r="D157" s="1" t="s">
        <v>8</v>
      </c>
      <c r="E157" s="1" t="s">
        <v>9</v>
      </c>
      <c r="F157" s="1" t="s">
        <v>10</v>
      </c>
      <c r="G157" s="1">
        <v>5</v>
      </c>
    </row>
    <row r="158" spans="1:7" x14ac:dyDescent="0.25">
      <c r="A158" s="1">
        <v>48.17</v>
      </c>
      <c r="B158" s="1">
        <v>5</v>
      </c>
      <c r="C158" s="1" t="s">
        <v>11</v>
      </c>
      <c r="D158" s="1" t="s">
        <v>8</v>
      </c>
      <c r="E158" s="1" t="s">
        <v>9</v>
      </c>
      <c r="F158" s="1" t="s">
        <v>10</v>
      </c>
      <c r="G158" s="1">
        <v>6</v>
      </c>
    </row>
    <row r="159" spans="1:7" x14ac:dyDescent="0.25">
      <c r="A159" s="1">
        <v>25</v>
      </c>
      <c r="B159" s="1">
        <v>3.75</v>
      </c>
      <c r="C159" s="1" t="s">
        <v>7</v>
      </c>
      <c r="D159" s="1" t="s">
        <v>8</v>
      </c>
      <c r="E159" s="1" t="s">
        <v>9</v>
      </c>
      <c r="F159" s="1" t="s">
        <v>10</v>
      </c>
      <c r="G159" s="1">
        <v>4</v>
      </c>
    </row>
    <row r="160" spans="1:7" x14ac:dyDescent="0.25">
      <c r="A160" s="1">
        <v>13.39</v>
      </c>
      <c r="B160" s="1">
        <v>2.61</v>
      </c>
      <c r="C160" s="1" t="s">
        <v>7</v>
      </c>
      <c r="D160" s="1" t="s">
        <v>8</v>
      </c>
      <c r="E160" s="1" t="s">
        <v>9</v>
      </c>
      <c r="F160" s="1" t="s">
        <v>10</v>
      </c>
      <c r="G160" s="1">
        <v>2</v>
      </c>
    </row>
    <row r="161" spans="1:7" x14ac:dyDescent="0.25">
      <c r="A161" s="1">
        <v>16.489999999999998</v>
      </c>
      <c r="B161" s="1">
        <v>2</v>
      </c>
      <c r="C161" s="1" t="s">
        <v>11</v>
      </c>
      <c r="D161" s="1" t="s">
        <v>8</v>
      </c>
      <c r="E161" s="1" t="s">
        <v>9</v>
      </c>
      <c r="F161" s="1" t="s">
        <v>10</v>
      </c>
      <c r="G161" s="1">
        <v>4</v>
      </c>
    </row>
    <row r="162" spans="1:7" x14ac:dyDescent="0.25">
      <c r="A162" s="1">
        <v>21.5</v>
      </c>
      <c r="B162" s="1">
        <v>3.5</v>
      </c>
      <c r="C162" s="1" t="s">
        <v>11</v>
      </c>
      <c r="D162" s="1" t="s">
        <v>8</v>
      </c>
      <c r="E162" s="1" t="s">
        <v>9</v>
      </c>
      <c r="F162" s="1" t="s">
        <v>10</v>
      </c>
      <c r="G162" s="1">
        <v>4</v>
      </c>
    </row>
    <row r="163" spans="1:7" x14ac:dyDescent="0.25">
      <c r="A163" s="1">
        <v>12.66</v>
      </c>
      <c r="B163" s="1">
        <v>2.5</v>
      </c>
      <c r="C163" s="1" t="s">
        <v>11</v>
      </c>
      <c r="D163" s="1" t="s">
        <v>8</v>
      </c>
      <c r="E163" s="1" t="s">
        <v>9</v>
      </c>
      <c r="F163" s="1" t="s">
        <v>10</v>
      </c>
      <c r="G163" s="1">
        <v>2</v>
      </c>
    </row>
    <row r="164" spans="1:7" x14ac:dyDescent="0.25">
      <c r="A164" s="1">
        <v>16.21</v>
      </c>
      <c r="B164" s="1">
        <v>2</v>
      </c>
      <c r="C164" s="1" t="s">
        <v>7</v>
      </c>
      <c r="D164" s="1" t="s">
        <v>8</v>
      </c>
      <c r="E164" s="1" t="s">
        <v>9</v>
      </c>
      <c r="F164" s="1" t="s">
        <v>10</v>
      </c>
      <c r="G164" s="1">
        <v>3</v>
      </c>
    </row>
    <row r="165" spans="1:7" x14ac:dyDescent="0.25">
      <c r="A165" s="1">
        <v>13.81</v>
      </c>
      <c r="B165" s="1">
        <v>2</v>
      </c>
      <c r="C165" s="1" t="s">
        <v>11</v>
      </c>
      <c r="D165" s="1" t="s">
        <v>8</v>
      </c>
      <c r="E165" s="1" t="s">
        <v>9</v>
      </c>
      <c r="F165" s="1" t="s">
        <v>10</v>
      </c>
      <c r="G165" s="1">
        <v>2</v>
      </c>
    </row>
    <row r="166" spans="1:7" x14ac:dyDescent="0.25">
      <c r="A166" s="1">
        <v>17.510000000000002</v>
      </c>
      <c r="B166" s="1">
        <v>3</v>
      </c>
      <c r="C166" s="1" t="s">
        <v>7</v>
      </c>
      <c r="D166" s="1" t="s">
        <v>13</v>
      </c>
      <c r="E166" s="1" t="s">
        <v>9</v>
      </c>
      <c r="F166" s="1" t="s">
        <v>10</v>
      </c>
      <c r="G166" s="1">
        <v>2</v>
      </c>
    </row>
    <row r="167" spans="1:7" x14ac:dyDescent="0.25">
      <c r="A167" s="1">
        <v>24.52</v>
      </c>
      <c r="B167" s="1">
        <v>3.48</v>
      </c>
      <c r="C167" s="1" t="s">
        <v>11</v>
      </c>
      <c r="D167" s="1" t="s">
        <v>8</v>
      </c>
      <c r="E167" s="1" t="s">
        <v>9</v>
      </c>
      <c r="F167" s="1" t="s">
        <v>10</v>
      </c>
      <c r="G167" s="1">
        <v>3</v>
      </c>
    </row>
    <row r="168" spans="1:7" x14ac:dyDescent="0.25">
      <c r="A168" s="1">
        <v>20.76</v>
      </c>
      <c r="B168" s="1">
        <v>2.2400000000000002</v>
      </c>
      <c r="C168" s="1" t="s">
        <v>11</v>
      </c>
      <c r="D168" s="1" t="s">
        <v>8</v>
      </c>
      <c r="E168" s="1" t="s">
        <v>9</v>
      </c>
      <c r="F168" s="1" t="s">
        <v>10</v>
      </c>
      <c r="G168" s="1">
        <v>2</v>
      </c>
    </row>
    <row r="169" spans="1:7" x14ac:dyDescent="0.25">
      <c r="A169" s="1">
        <v>31.71</v>
      </c>
      <c r="B169" s="1">
        <v>4.5</v>
      </c>
      <c r="C169" s="1" t="s">
        <v>11</v>
      </c>
      <c r="D169" s="1" t="s">
        <v>8</v>
      </c>
      <c r="E169" s="1" t="s">
        <v>9</v>
      </c>
      <c r="F169" s="1" t="s">
        <v>10</v>
      </c>
      <c r="G169" s="1">
        <v>4</v>
      </c>
    </row>
    <row r="170" spans="1:7" x14ac:dyDescent="0.25">
      <c r="A170" s="1">
        <v>10.59</v>
      </c>
      <c r="B170" s="1">
        <v>1.61</v>
      </c>
      <c r="C170" s="1" t="s">
        <v>7</v>
      </c>
      <c r="D170" s="1" t="s">
        <v>13</v>
      </c>
      <c r="E170" s="1" t="s">
        <v>12</v>
      </c>
      <c r="F170" s="1" t="s">
        <v>10</v>
      </c>
      <c r="G170" s="1">
        <v>2</v>
      </c>
    </row>
    <row r="171" spans="1:7" x14ac:dyDescent="0.25">
      <c r="A171" s="1">
        <v>10.63</v>
      </c>
      <c r="B171" s="1">
        <v>2</v>
      </c>
      <c r="C171" s="1" t="s">
        <v>7</v>
      </c>
      <c r="D171" s="1" t="s">
        <v>13</v>
      </c>
      <c r="E171" s="1" t="s">
        <v>12</v>
      </c>
      <c r="F171" s="1" t="s">
        <v>10</v>
      </c>
      <c r="G171" s="1">
        <v>2</v>
      </c>
    </row>
    <row r="172" spans="1:7" x14ac:dyDescent="0.25">
      <c r="A172" s="1">
        <v>50.81</v>
      </c>
      <c r="B172" s="1">
        <v>10</v>
      </c>
      <c r="C172" s="1" t="s">
        <v>11</v>
      </c>
      <c r="D172" s="1" t="s">
        <v>13</v>
      </c>
      <c r="E172" s="1" t="s">
        <v>12</v>
      </c>
      <c r="F172" s="1" t="s">
        <v>10</v>
      </c>
      <c r="G172" s="1">
        <v>3</v>
      </c>
    </row>
    <row r="173" spans="1:7" x14ac:dyDescent="0.25">
      <c r="A173" s="1">
        <v>15.81</v>
      </c>
      <c r="B173" s="1">
        <v>3.16</v>
      </c>
      <c r="C173" s="1" t="s">
        <v>11</v>
      </c>
      <c r="D173" s="1" t="s">
        <v>13</v>
      </c>
      <c r="E173" s="1" t="s">
        <v>12</v>
      </c>
      <c r="F173" s="1" t="s">
        <v>10</v>
      </c>
      <c r="G173" s="1">
        <v>2</v>
      </c>
    </row>
    <row r="174" spans="1:7" x14ac:dyDescent="0.25">
      <c r="A174" s="1">
        <v>7.25</v>
      </c>
      <c r="B174" s="1">
        <v>5.15</v>
      </c>
      <c r="C174" s="1" t="s">
        <v>11</v>
      </c>
      <c r="D174" s="1" t="s">
        <v>13</v>
      </c>
      <c r="E174" s="1" t="s">
        <v>9</v>
      </c>
      <c r="F174" s="1" t="s">
        <v>10</v>
      </c>
      <c r="G174" s="1">
        <v>2</v>
      </c>
    </row>
    <row r="175" spans="1:7" x14ac:dyDescent="0.25">
      <c r="A175" s="1">
        <v>31.85</v>
      </c>
      <c r="B175" s="1">
        <v>3.18</v>
      </c>
      <c r="C175" s="1" t="s">
        <v>11</v>
      </c>
      <c r="D175" s="1" t="s">
        <v>13</v>
      </c>
      <c r="E175" s="1" t="s">
        <v>9</v>
      </c>
      <c r="F175" s="1" t="s">
        <v>10</v>
      </c>
      <c r="G175" s="1">
        <v>2</v>
      </c>
    </row>
    <row r="176" spans="1:7" x14ac:dyDescent="0.25">
      <c r="A176" s="1">
        <v>16.82</v>
      </c>
      <c r="B176" s="1">
        <v>4</v>
      </c>
      <c r="C176" s="1" t="s">
        <v>11</v>
      </c>
      <c r="D176" s="1" t="s">
        <v>13</v>
      </c>
      <c r="E176" s="1" t="s">
        <v>9</v>
      </c>
      <c r="F176" s="1" t="s">
        <v>10</v>
      </c>
      <c r="G176" s="1">
        <v>2</v>
      </c>
    </row>
    <row r="177" spans="1:7" x14ac:dyDescent="0.25">
      <c r="A177" s="1">
        <v>32.9</v>
      </c>
      <c r="B177" s="1">
        <v>3.11</v>
      </c>
      <c r="C177" s="1" t="s">
        <v>11</v>
      </c>
      <c r="D177" s="1" t="s">
        <v>13</v>
      </c>
      <c r="E177" s="1" t="s">
        <v>9</v>
      </c>
      <c r="F177" s="1" t="s">
        <v>10</v>
      </c>
      <c r="G177" s="1">
        <v>2</v>
      </c>
    </row>
    <row r="178" spans="1:7" x14ac:dyDescent="0.25">
      <c r="A178" s="1">
        <v>17.89</v>
      </c>
      <c r="B178" s="1">
        <v>2</v>
      </c>
      <c r="C178" s="1" t="s">
        <v>11</v>
      </c>
      <c r="D178" s="1" t="s">
        <v>13</v>
      </c>
      <c r="E178" s="1" t="s">
        <v>9</v>
      </c>
      <c r="F178" s="1" t="s">
        <v>10</v>
      </c>
      <c r="G178" s="1">
        <v>2</v>
      </c>
    </row>
    <row r="179" spans="1:7" x14ac:dyDescent="0.25">
      <c r="A179" s="1">
        <v>14.48</v>
      </c>
      <c r="B179" s="1">
        <v>2</v>
      </c>
      <c r="C179" s="1" t="s">
        <v>11</v>
      </c>
      <c r="D179" s="1" t="s">
        <v>13</v>
      </c>
      <c r="E179" s="1" t="s">
        <v>9</v>
      </c>
      <c r="F179" s="1" t="s">
        <v>10</v>
      </c>
      <c r="G179" s="1">
        <v>2</v>
      </c>
    </row>
    <row r="180" spans="1:7" x14ac:dyDescent="0.25">
      <c r="A180" s="1">
        <v>9.6</v>
      </c>
      <c r="B180" s="1">
        <v>4</v>
      </c>
      <c r="C180" s="1" t="s">
        <v>7</v>
      </c>
      <c r="D180" s="1" t="s">
        <v>13</v>
      </c>
      <c r="E180" s="1" t="s">
        <v>9</v>
      </c>
      <c r="F180" s="1" t="s">
        <v>10</v>
      </c>
      <c r="G180" s="1">
        <v>2</v>
      </c>
    </row>
    <row r="181" spans="1:7" x14ac:dyDescent="0.25">
      <c r="A181" s="1">
        <v>34.630000000000003</v>
      </c>
      <c r="B181" s="1">
        <v>3.55</v>
      </c>
      <c r="C181" s="1" t="s">
        <v>11</v>
      </c>
      <c r="D181" s="1" t="s">
        <v>13</v>
      </c>
      <c r="E181" s="1" t="s">
        <v>9</v>
      </c>
      <c r="F181" s="1" t="s">
        <v>10</v>
      </c>
      <c r="G181" s="1">
        <v>2</v>
      </c>
    </row>
    <row r="182" spans="1:7" x14ac:dyDescent="0.25">
      <c r="A182" s="1">
        <v>34.65</v>
      </c>
      <c r="B182" s="1">
        <v>3.68</v>
      </c>
      <c r="C182" s="1" t="s">
        <v>11</v>
      </c>
      <c r="D182" s="1" t="s">
        <v>13</v>
      </c>
      <c r="E182" s="1" t="s">
        <v>9</v>
      </c>
      <c r="F182" s="1" t="s">
        <v>10</v>
      </c>
      <c r="G182" s="1">
        <v>4</v>
      </c>
    </row>
    <row r="183" spans="1:7" x14ac:dyDescent="0.25">
      <c r="A183" s="1">
        <v>23.33</v>
      </c>
      <c r="B183" s="1">
        <v>5.65</v>
      </c>
      <c r="C183" s="1" t="s">
        <v>11</v>
      </c>
      <c r="D183" s="1" t="s">
        <v>13</v>
      </c>
      <c r="E183" s="1" t="s">
        <v>9</v>
      </c>
      <c r="F183" s="1" t="s">
        <v>10</v>
      </c>
      <c r="G183" s="1">
        <v>2</v>
      </c>
    </row>
    <row r="184" spans="1:7" x14ac:dyDescent="0.25">
      <c r="A184" s="1">
        <v>45.35</v>
      </c>
      <c r="B184" s="1">
        <v>3.5</v>
      </c>
      <c r="C184" s="1" t="s">
        <v>11</v>
      </c>
      <c r="D184" s="1" t="s">
        <v>13</v>
      </c>
      <c r="E184" s="1" t="s">
        <v>9</v>
      </c>
      <c r="F184" s="1" t="s">
        <v>10</v>
      </c>
      <c r="G184" s="1">
        <v>3</v>
      </c>
    </row>
    <row r="185" spans="1:7" x14ac:dyDescent="0.25">
      <c r="A185" s="1">
        <v>23.17</v>
      </c>
      <c r="B185" s="1">
        <v>6.5</v>
      </c>
      <c r="C185" s="1" t="s">
        <v>11</v>
      </c>
      <c r="D185" s="1" t="s">
        <v>13</v>
      </c>
      <c r="E185" s="1" t="s">
        <v>9</v>
      </c>
      <c r="F185" s="1" t="s">
        <v>10</v>
      </c>
      <c r="G185" s="1">
        <v>4</v>
      </c>
    </row>
    <row r="186" spans="1:7" x14ac:dyDescent="0.25">
      <c r="A186" s="1">
        <v>40.549999999999997</v>
      </c>
      <c r="B186" s="1">
        <v>3</v>
      </c>
      <c r="C186" s="1" t="s">
        <v>11</v>
      </c>
      <c r="D186" s="1" t="s">
        <v>13</v>
      </c>
      <c r="E186" s="1" t="s">
        <v>9</v>
      </c>
      <c r="F186" s="1" t="s">
        <v>10</v>
      </c>
      <c r="G186" s="1">
        <v>2</v>
      </c>
    </row>
    <row r="187" spans="1:7" x14ac:dyDescent="0.25">
      <c r="A187" s="1">
        <v>20.69</v>
      </c>
      <c r="B187" s="1">
        <v>5</v>
      </c>
      <c r="C187" s="1" t="s">
        <v>11</v>
      </c>
      <c r="D187" s="1" t="s">
        <v>8</v>
      </c>
      <c r="E187" s="1" t="s">
        <v>9</v>
      </c>
      <c r="F187" s="1" t="s">
        <v>10</v>
      </c>
      <c r="G187" s="1">
        <v>5</v>
      </c>
    </row>
    <row r="188" spans="1:7" x14ac:dyDescent="0.25">
      <c r="A188" s="1">
        <v>20.9</v>
      </c>
      <c r="B188" s="1">
        <v>3.5</v>
      </c>
      <c r="C188" s="1" t="s">
        <v>7</v>
      </c>
      <c r="D188" s="1" t="s">
        <v>13</v>
      </c>
      <c r="E188" s="1" t="s">
        <v>9</v>
      </c>
      <c r="F188" s="1" t="s">
        <v>10</v>
      </c>
      <c r="G188" s="1">
        <v>3</v>
      </c>
    </row>
    <row r="189" spans="1:7" x14ac:dyDescent="0.25">
      <c r="A189" s="1">
        <v>30.46</v>
      </c>
      <c r="B189" s="1">
        <v>2</v>
      </c>
      <c r="C189" s="1" t="s">
        <v>11</v>
      </c>
      <c r="D189" s="1" t="s">
        <v>13</v>
      </c>
      <c r="E189" s="1" t="s">
        <v>9</v>
      </c>
      <c r="F189" s="1" t="s">
        <v>10</v>
      </c>
      <c r="G189" s="1">
        <v>5</v>
      </c>
    </row>
    <row r="190" spans="1:7" x14ac:dyDescent="0.25">
      <c r="A190" s="1">
        <v>18.149999999999999</v>
      </c>
      <c r="B190" s="1">
        <v>3.5</v>
      </c>
      <c r="C190" s="1" t="s">
        <v>7</v>
      </c>
      <c r="D190" s="1" t="s">
        <v>13</v>
      </c>
      <c r="E190" s="1" t="s">
        <v>9</v>
      </c>
      <c r="F190" s="1" t="s">
        <v>10</v>
      </c>
      <c r="G190" s="1">
        <v>3</v>
      </c>
    </row>
    <row r="191" spans="1:7" x14ac:dyDescent="0.25">
      <c r="A191" s="1">
        <v>23.1</v>
      </c>
      <c r="B191" s="1">
        <v>4</v>
      </c>
      <c r="C191" s="1" t="s">
        <v>11</v>
      </c>
      <c r="D191" s="1" t="s">
        <v>13</v>
      </c>
      <c r="E191" s="1" t="s">
        <v>9</v>
      </c>
      <c r="F191" s="1" t="s">
        <v>10</v>
      </c>
      <c r="G191" s="1">
        <v>3</v>
      </c>
    </row>
    <row r="192" spans="1:7" x14ac:dyDescent="0.25">
      <c r="A192" s="1">
        <v>15.69</v>
      </c>
      <c r="B192" s="1">
        <v>1.5</v>
      </c>
      <c r="C192" s="1" t="s">
        <v>11</v>
      </c>
      <c r="D192" s="1" t="s">
        <v>13</v>
      </c>
      <c r="E192" s="1" t="s">
        <v>9</v>
      </c>
      <c r="F192" s="1" t="s">
        <v>10</v>
      </c>
      <c r="G192" s="1">
        <v>2</v>
      </c>
    </row>
    <row r="193" spans="1:7" x14ac:dyDescent="0.25">
      <c r="A193" s="1">
        <v>19.809999999999999</v>
      </c>
      <c r="B193" s="1">
        <v>4.1900000000000004</v>
      </c>
      <c r="C193" s="1" t="s">
        <v>7</v>
      </c>
      <c r="D193" s="1" t="s">
        <v>13</v>
      </c>
      <c r="E193" s="1" t="s">
        <v>14</v>
      </c>
      <c r="F193" s="1" t="s">
        <v>15</v>
      </c>
      <c r="G193" s="1">
        <v>2</v>
      </c>
    </row>
    <row r="194" spans="1:7" x14ac:dyDescent="0.25">
      <c r="A194" s="1">
        <v>28.44</v>
      </c>
      <c r="B194" s="1">
        <v>2.56</v>
      </c>
      <c r="C194" s="1" t="s">
        <v>11</v>
      </c>
      <c r="D194" s="1" t="s">
        <v>13</v>
      </c>
      <c r="E194" s="1" t="s">
        <v>14</v>
      </c>
      <c r="F194" s="1" t="s">
        <v>15</v>
      </c>
      <c r="G194" s="1">
        <v>2</v>
      </c>
    </row>
    <row r="195" spans="1:7" x14ac:dyDescent="0.25">
      <c r="A195" s="1">
        <v>15.48</v>
      </c>
      <c r="B195" s="1">
        <v>2.02</v>
      </c>
      <c r="C195" s="1" t="s">
        <v>11</v>
      </c>
      <c r="D195" s="1" t="s">
        <v>13</v>
      </c>
      <c r="E195" s="1" t="s">
        <v>14</v>
      </c>
      <c r="F195" s="1" t="s">
        <v>15</v>
      </c>
      <c r="G195" s="1">
        <v>2</v>
      </c>
    </row>
    <row r="196" spans="1:7" x14ac:dyDescent="0.25">
      <c r="A196" s="1">
        <v>16.579999999999998</v>
      </c>
      <c r="B196" s="1">
        <v>4</v>
      </c>
      <c r="C196" s="1" t="s">
        <v>11</v>
      </c>
      <c r="D196" s="1" t="s">
        <v>13</v>
      </c>
      <c r="E196" s="1" t="s">
        <v>14</v>
      </c>
      <c r="F196" s="1" t="s">
        <v>15</v>
      </c>
      <c r="G196" s="1">
        <v>2</v>
      </c>
    </row>
    <row r="197" spans="1:7" x14ac:dyDescent="0.25">
      <c r="A197" s="1">
        <v>7.56</v>
      </c>
      <c r="B197" s="1">
        <v>1.44</v>
      </c>
      <c r="C197" s="1" t="s">
        <v>11</v>
      </c>
      <c r="D197" s="1" t="s">
        <v>8</v>
      </c>
      <c r="E197" s="1" t="s">
        <v>14</v>
      </c>
      <c r="F197" s="1" t="s">
        <v>15</v>
      </c>
      <c r="G197" s="1">
        <v>2</v>
      </c>
    </row>
    <row r="198" spans="1:7" x14ac:dyDescent="0.25">
      <c r="A198" s="1">
        <v>10.34</v>
      </c>
      <c r="B198" s="1">
        <v>2</v>
      </c>
      <c r="C198" s="1" t="s">
        <v>11</v>
      </c>
      <c r="D198" s="1" t="s">
        <v>13</v>
      </c>
      <c r="E198" s="1" t="s">
        <v>14</v>
      </c>
      <c r="F198" s="1" t="s">
        <v>15</v>
      </c>
      <c r="G198" s="1">
        <v>2</v>
      </c>
    </row>
    <row r="199" spans="1:7" x14ac:dyDescent="0.25">
      <c r="A199" s="1">
        <v>43.11</v>
      </c>
      <c r="B199" s="1">
        <v>5</v>
      </c>
      <c r="C199" s="1" t="s">
        <v>7</v>
      </c>
      <c r="D199" s="1" t="s">
        <v>13</v>
      </c>
      <c r="E199" s="1" t="s">
        <v>14</v>
      </c>
      <c r="F199" s="1" t="s">
        <v>15</v>
      </c>
      <c r="G199" s="1">
        <v>4</v>
      </c>
    </row>
    <row r="200" spans="1:7" x14ac:dyDescent="0.25">
      <c r="A200" s="1">
        <v>13</v>
      </c>
      <c r="B200" s="1">
        <v>2</v>
      </c>
      <c r="C200" s="1" t="s">
        <v>7</v>
      </c>
      <c r="D200" s="1" t="s">
        <v>13</v>
      </c>
      <c r="E200" s="1" t="s">
        <v>14</v>
      </c>
      <c r="F200" s="1" t="s">
        <v>15</v>
      </c>
      <c r="G200" s="1">
        <v>2</v>
      </c>
    </row>
    <row r="201" spans="1:7" x14ac:dyDescent="0.25">
      <c r="A201" s="1">
        <v>13.51</v>
      </c>
      <c r="B201" s="1">
        <v>2</v>
      </c>
      <c r="C201" s="1" t="s">
        <v>11</v>
      </c>
      <c r="D201" s="1" t="s">
        <v>13</v>
      </c>
      <c r="E201" s="1" t="s">
        <v>14</v>
      </c>
      <c r="F201" s="1" t="s">
        <v>15</v>
      </c>
      <c r="G201" s="1">
        <v>2</v>
      </c>
    </row>
    <row r="202" spans="1:7" x14ac:dyDescent="0.25">
      <c r="A202" s="1">
        <v>18.71</v>
      </c>
      <c r="B202" s="1">
        <v>4</v>
      </c>
      <c r="C202" s="1" t="s">
        <v>11</v>
      </c>
      <c r="D202" s="1" t="s">
        <v>13</v>
      </c>
      <c r="E202" s="1" t="s">
        <v>14</v>
      </c>
      <c r="F202" s="1" t="s">
        <v>15</v>
      </c>
      <c r="G202" s="1">
        <v>3</v>
      </c>
    </row>
    <row r="203" spans="1:7" x14ac:dyDescent="0.25">
      <c r="A203" s="1">
        <v>12.74</v>
      </c>
      <c r="B203" s="1">
        <v>2.0099999999999998</v>
      </c>
      <c r="C203" s="1" t="s">
        <v>7</v>
      </c>
      <c r="D203" s="1" t="s">
        <v>13</v>
      </c>
      <c r="E203" s="1" t="s">
        <v>14</v>
      </c>
      <c r="F203" s="1" t="s">
        <v>15</v>
      </c>
      <c r="G203" s="1">
        <v>2</v>
      </c>
    </row>
    <row r="204" spans="1:7" x14ac:dyDescent="0.25">
      <c r="A204" s="1">
        <v>16.399999999999999</v>
      </c>
      <c r="B204" s="1">
        <v>2.5</v>
      </c>
      <c r="C204" s="1" t="s">
        <v>7</v>
      </c>
      <c r="D204" s="1" t="s">
        <v>13</v>
      </c>
      <c r="E204" s="1" t="s">
        <v>14</v>
      </c>
      <c r="F204" s="1" t="s">
        <v>15</v>
      </c>
      <c r="G204" s="1">
        <v>2</v>
      </c>
    </row>
    <row r="205" spans="1:7" x14ac:dyDescent="0.25">
      <c r="A205" s="1">
        <v>20.53</v>
      </c>
      <c r="B205" s="1">
        <v>4</v>
      </c>
      <c r="C205" s="1" t="s">
        <v>11</v>
      </c>
      <c r="D205" s="1" t="s">
        <v>13</v>
      </c>
      <c r="E205" s="1" t="s">
        <v>14</v>
      </c>
      <c r="F205" s="1" t="s">
        <v>15</v>
      </c>
      <c r="G205" s="1">
        <v>4</v>
      </c>
    </row>
    <row r="206" spans="1:7" x14ac:dyDescent="0.25">
      <c r="A206" s="1">
        <v>16.47</v>
      </c>
      <c r="B206" s="1">
        <v>3.23</v>
      </c>
      <c r="C206" s="1" t="s">
        <v>7</v>
      </c>
      <c r="D206" s="1" t="s">
        <v>13</v>
      </c>
      <c r="E206" s="1" t="s">
        <v>14</v>
      </c>
      <c r="F206" s="1" t="s">
        <v>15</v>
      </c>
      <c r="G206" s="1">
        <v>3</v>
      </c>
    </row>
    <row r="207" spans="1:7" x14ac:dyDescent="0.25">
      <c r="A207" s="1">
        <v>26.59</v>
      </c>
      <c r="B207" s="1">
        <v>3.41</v>
      </c>
      <c r="C207" s="1" t="s">
        <v>11</v>
      </c>
      <c r="D207" s="1" t="s">
        <v>13</v>
      </c>
      <c r="E207" s="1" t="s">
        <v>12</v>
      </c>
      <c r="F207" s="1" t="s">
        <v>10</v>
      </c>
      <c r="G207" s="1">
        <v>3</v>
      </c>
    </row>
    <row r="208" spans="1:7" x14ac:dyDescent="0.25">
      <c r="A208" s="1">
        <v>38.729999999999997</v>
      </c>
      <c r="B208" s="1">
        <v>3</v>
      </c>
      <c r="C208" s="1" t="s">
        <v>11</v>
      </c>
      <c r="D208" s="1" t="s">
        <v>13</v>
      </c>
      <c r="E208" s="1" t="s">
        <v>12</v>
      </c>
      <c r="F208" s="1" t="s">
        <v>10</v>
      </c>
      <c r="G208" s="1">
        <v>4</v>
      </c>
    </row>
    <row r="209" spans="1:7" x14ac:dyDescent="0.25">
      <c r="A209" s="1">
        <v>24.27</v>
      </c>
      <c r="B209" s="1">
        <v>2.0299999999999998</v>
      </c>
      <c r="C209" s="1" t="s">
        <v>11</v>
      </c>
      <c r="D209" s="1" t="s">
        <v>13</v>
      </c>
      <c r="E209" s="1" t="s">
        <v>12</v>
      </c>
      <c r="F209" s="1" t="s">
        <v>10</v>
      </c>
      <c r="G209" s="1">
        <v>2</v>
      </c>
    </row>
    <row r="210" spans="1:7" x14ac:dyDescent="0.25">
      <c r="A210" s="1">
        <v>12.76</v>
      </c>
      <c r="B210" s="1">
        <v>2.23</v>
      </c>
      <c r="C210" s="1" t="s">
        <v>7</v>
      </c>
      <c r="D210" s="1" t="s">
        <v>13</v>
      </c>
      <c r="E210" s="1" t="s">
        <v>12</v>
      </c>
      <c r="F210" s="1" t="s">
        <v>10</v>
      </c>
      <c r="G210" s="1">
        <v>2</v>
      </c>
    </row>
    <row r="211" spans="1:7" x14ac:dyDescent="0.25">
      <c r="A211" s="1">
        <v>30.06</v>
      </c>
      <c r="B211" s="1">
        <v>2</v>
      </c>
      <c r="C211" s="1" t="s">
        <v>11</v>
      </c>
      <c r="D211" s="1" t="s">
        <v>13</v>
      </c>
      <c r="E211" s="1" t="s">
        <v>12</v>
      </c>
      <c r="F211" s="1" t="s">
        <v>10</v>
      </c>
      <c r="G211" s="1">
        <v>3</v>
      </c>
    </row>
    <row r="212" spans="1:7" x14ac:dyDescent="0.25">
      <c r="A212" s="1">
        <v>25.89</v>
      </c>
      <c r="B212" s="1">
        <v>5.16</v>
      </c>
      <c r="C212" s="1" t="s">
        <v>11</v>
      </c>
      <c r="D212" s="1" t="s">
        <v>13</v>
      </c>
      <c r="E212" s="1" t="s">
        <v>12</v>
      </c>
      <c r="F212" s="1" t="s">
        <v>10</v>
      </c>
      <c r="G212" s="1">
        <v>4</v>
      </c>
    </row>
    <row r="213" spans="1:7" x14ac:dyDescent="0.25">
      <c r="A213" s="1">
        <v>48.33</v>
      </c>
      <c r="B213" s="1">
        <v>9</v>
      </c>
      <c r="C213" s="1" t="s">
        <v>11</v>
      </c>
      <c r="D213" s="1" t="s">
        <v>8</v>
      </c>
      <c r="E213" s="1" t="s">
        <v>12</v>
      </c>
      <c r="F213" s="1" t="s">
        <v>10</v>
      </c>
      <c r="G213" s="1">
        <v>4</v>
      </c>
    </row>
    <row r="214" spans="1:7" x14ac:dyDescent="0.25">
      <c r="A214" s="1">
        <v>13.27</v>
      </c>
      <c r="B214" s="1">
        <v>2.5</v>
      </c>
      <c r="C214" s="1" t="s">
        <v>7</v>
      </c>
      <c r="D214" s="1" t="s">
        <v>13</v>
      </c>
      <c r="E214" s="1" t="s">
        <v>12</v>
      </c>
      <c r="F214" s="1" t="s">
        <v>10</v>
      </c>
      <c r="G214" s="1">
        <v>2</v>
      </c>
    </row>
    <row r="215" spans="1:7" x14ac:dyDescent="0.25">
      <c r="A215" s="1">
        <v>28.17</v>
      </c>
      <c r="B215" s="1">
        <v>6.5</v>
      </c>
      <c r="C215" s="1" t="s">
        <v>7</v>
      </c>
      <c r="D215" s="1" t="s">
        <v>13</v>
      </c>
      <c r="E215" s="1" t="s">
        <v>12</v>
      </c>
      <c r="F215" s="1" t="s">
        <v>10</v>
      </c>
      <c r="G215" s="1">
        <v>3</v>
      </c>
    </row>
    <row r="216" spans="1:7" x14ac:dyDescent="0.25">
      <c r="A216" s="1">
        <v>12.9</v>
      </c>
      <c r="B216" s="1">
        <v>1.1000000000000001</v>
      </c>
      <c r="C216" s="1" t="s">
        <v>7</v>
      </c>
      <c r="D216" s="1" t="s">
        <v>13</v>
      </c>
      <c r="E216" s="1" t="s">
        <v>12</v>
      </c>
      <c r="F216" s="1" t="s">
        <v>10</v>
      </c>
      <c r="G216" s="1">
        <v>2</v>
      </c>
    </row>
    <row r="217" spans="1:7" x14ac:dyDescent="0.25">
      <c r="A217" s="1">
        <v>28.15</v>
      </c>
      <c r="B217" s="1">
        <v>3</v>
      </c>
      <c r="C217" s="1" t="s">
        <v>11</v>
      </c>
      <c r="D217" s="1" t="s">
        <v>13</v>
      </c>
      <c r="E217" s="1" t="s">
        <v>12</v>
      </c>
      <c r="F217" s="1" t="s">
        <v>10</v>
      </c>
      <c r="G217" s="1">
        <v>5</v>
      </c>
    </row>
    <row r="218" spans="1:7" x14ac:dyDescent="0.25">
      <c r="A218" s="1">
        <v>11.59</v>
      </c>
      <c r="B218" s="1">
        <v>1.5</v>
      </c>
      <c r="C218" s="1" t="s">
        <v>11</v>
      </c>
      <c r="D218" s="1" t="s">
        <v>13</v>
      </c>
      <c r="E218" s="1" t="s">
        <v>12</v>
      </c>
      <c r="F218" s="1" t="s">
        <v>10</v>
      </c>
      <c r="G218" s="1">
        <v>2</v>
      </c>
    </row>
    <row r="219" spans="1:7" x14ac:dyDescent="0.25">
      <c r="A219" s="1">
        <v>7.74</v>
      </c>
      <c r="B219" s="1">
        <v>1.44</v>
      </c>
      <c r="C219" s="1" t="s">
        <v>11</v>
      </c>
      <c r="D219" s="1" t="s">
        <v>13</v>
      </c>
      <c r="E219" s="1" t="s">
        <v>12</v>
      </c>
      <c r="F219" s="1" t="s">
        <v>10</v>
      </c>
      <c r="G219" s="1">
        <v>2</v>
      </c>
    </row>
    <row r="220" spans="1:7" x14ac:dyDescent="0.25">
      <c r="A220" s="1">
        <v>30.14</v>
      </c>
      <c r="B220" s="1">
        <v>3.09</v>
      </c>
      <c r="C220" s="1" t="s">
        <v>7</v>
      </c>
      <c r="D220" s="1" t="s">
        <v>13</v>
      </c>
      <c r="E220" s="1" t="s">
        <v>12</v>
      </c>
      <c r="F220" s="1" t="s">
        <v>10</v>
      </c>
      <c r="G220" s="1">
        <v>4</v>
      </c>
    </row>
    <row r="221" spans="1:7" x14ac:dyDescent="0.25">
      <c r="A221" s="1">
        <v>12.16</v>
      </c>
      <c r="B221" s="1">
        <v>2.2000000000000002</v>
      </c>
      <c r="C221" s="1" t="s">
        <v>11</v>
      </c>
      <c r="D221" s="1" t="s">
        <v>13</v>
      </c>
      <c r="E221" s="1" t="s">
        <v>16</v>
      </c>
      <c r="F221" s="1" t="s">
        <v>15</v>
      </c>
      <c r="G221" s="1">
        <v>2</v>
      </c>
    </row>
    <row r="222" spans="1:7" x14ac:dyDescent="0.25">
      <c r="A222" s="1">
        <v>13.42</v>
      </c>
      <c r="B222" s="1">
        <v>3.48</v>
      </c>
      <c r="C222" s="1" t="s">
        <v>7</v>
      </c>
      <c r="D222" s="1" t="s">
        <v>13</v>
      </c>
      <c r="E222" s="1" t="s">
        <v>16</v>
      </c>
      <c r="F222" s="1" t="s">
        <v>15</v>
      </c>
      <c r="G222" s="1">
        <v>2</v>
      </c>
    </row>
    <row r="223" spans="1:7" x14ac:dyDescent="0.25">
      <c r="A223" s="1">
        <v>8.58</v>
      </c>
      <c r="B223" s="1">
        <v>1.92</v>
      </c>
      <c r="C223" s="1" t="s">
        <v>11</v>
      </c>
      <c r="D223" s="1" t="s">
        <v>13</v>
      </c>
      <c r="E223" s="1" t="s">
        <v>16</v>
      </c>
      <c r="F223" s="1" t="s">
        <v>15</v>
      </c>
      <c r="G223" s="1">
        <v>1</v>
      </c>
    </row>
    <row r="224" spans="1:7" x14ac:dyDescent="0.25">
      <c r="A224" s="1">
        <v>15.98</v>
      </c>
      <c r="B224" s="1">
        <v>3</v>
      </c>
      <c r="C224" s="1" t="s">
        <v>7</v>
      </c>
      <c r="D224" s="1" t="s">
        <v>8</v>
      </c>
      <c r="E224" s="1" t="s">
        <v>16</v>
      </c>
      <c r="F224" s="1" t="s">
        <v>15</v>
      </c>
      <c r="G224" s="1">
        <v>3</v>
      </c>
    </row>
    <row r="225" spans="1:7" x14ac:dyDescent="0.25">
      <c r="A225" s="1">
        <v>13.42</v>
      </c>
      <c r="B225" s="1">
        <v>1.58</v>
      </c>
      <c r="C225" s="1" t="s">
        <v>11</v>
      </c>
      <c r="D225" s="1" t="s">
        <v>13</v>
      </c>
      <c r="E225" s="1" t="s">
        <v>16</v>
      </c>
      <c r="F225" s="1" t="s">
        <v>15</v>
      </c>
      <c r="G225" s="1">
        <v>2</v>
      </c>
    </row>
    <row r="226" spans="1:7" x14ac:dyDescent="0.25">
      <c r="A226" s="1">
        <v>16.27</v>
      </c>
      <c r="B226" s="1">
        <v>2.5</v>
      </c>
      <c r="C226" s="1" t="s">
        <v>7</v>
      </c>
      <c r="D226" s="1" t="s">
        <v>13</v>
      </c>
      <c r="E226" s="1" t="s">
        <v>16</v>
      </c>
      <c r="F226" s="1" t="s">
        <v>15</v>
      </c>
      <c r="G226" s="1">
        <v>2</v>
      </c>
    </row>
    <row r="227" spans="1:7" x14ac:dyDescent="0.25">
      <c r="A227" s="1">
        <v>10.09</v>
      </c>
      <c r="B227" s="1">
        <v>2</v>
      </c>
      <c r="C227" s="1" t="s">
        <v>7</v>
      </c>
      <c r="D227" s="1" t="s">
        <v>13</v>
      </c>
      <c r="E227" s="1" t="s">
        <v>16</v>
      </c>
      <c r="F227" s="1" t="s">
        <v>15</v>
      </c>
      <c r="G227" s="1">
        <v>2</v>
      </c>
    </row>
    <row r="228" spans="1:7" x14ac:dyDescent="0.25">
      <c r="A228" s="1">
        <v>20.45</v>
      </c>
      <c r="B228" s="1">
        <v>3</v>
      </c>
      <c r="C228" s="1" t="s">
        <v>11</v>
      </c>
      <c r="D228" s="1" t="s">
        <v>8</v>
      </c>
      <c r="E228" s="1" t="s">
        <v>12</v>
      </c>
      <c r="F228" s="1" t="s">
        <v>10</v>
      </c>
      <c r="G228" s="1">
        <v>4</v>
      </c>
    </row>
    <row r="229" spans="1:7" x14ac:dyDescent="0.25">
      <c r="A229" s="1">
        <v>13.28</v>
      </c>
      <c r="B229" s="1">
        <v>2.72</v>
      </c>
      <c r="C229" s="1" t="s">
        <v>11</v>
      </c>
      <c r="D229" s="1" t="s">
        <v>8</v>
      </c>
      <c r="E229" s="1" t="s">
        <v>12</v>
      </c>
      <c r="F229" s="1" t="s">
        <v>10</v>
      </c>
      <c r="G229" s="1">
        <v>2</v>
      </c>
    </row>
    <row r="230" spans="1:7" x14ac:dyDescent="0.25">
      <c r="A230" s="1">
        <v>22.12</v>
      </c>
      <c r="B230" s="1">
        <v>2.88</v>
      </c>
      <c r="C230" s="1" t="s">
        <v>7</v>
      </c>
      <c r="D230" s="1" t="s">
        <v>13</v>
      </c>
      <c r="E230" s="1" t="s">
        <v>12</v>
      </c>
      <c r="F230" s="1" t="s">
        <v>10</v>
      </c>
      <c r="G230" s="1">
        <v>2</v>
      </c>
    </row>
    <row r="231" spans="1:7" x14ac:dyDescent="0.25">
      <c r="A231" s="1">
        <v>24.01</v>
      </c>
      <c r="B231" s="1">
        <v>2</v>
      </c>
      <c r="C231" s="1" t="s">
        <v>11</v>
      </c>
      <c r="D231" s="1" t="s">
        <v>13</v>
      </c>
      <c r="E231" s="1" t="s">
        <v>12</v>
      </c>
      <c r="F231" s="1" t="s">
        <v>10</v>
      </c>
      <c r="G231" s="1">
        <v>4</v>
      </c>
    </row>
    <row r="232" spans="1:7" x14ac:dyDescent="0.25">
      <c r="A232" s="1">
        <v>15.69</v>
      </c>
      <c r="B232" s="1">
        <v>3</v>
      </c>
      <c r="C232" s="1" t="s">
        <v>11</v>
      </c>
      <c r="D232" s="1" t="s">
        <v>13</v>
      </c>
      <c r="E232" s="1" t="s">
        <v>12</v>
      </c>
      <c r="F232" s="1" t="s">
        <v>10</v>
      </c>
      <c r="G232" s="1">
        <v>3</v>
      </c>
    </row>
    <row r="233" spans="1:7" x14ac:dyDescent="0.25">
      <c r="A233" s="1">
        <v>11.61</v>
      </c>
      <c r="B233" s="1">
        <v>3.39</v>
      </c>
      <c r="C233" s="1" t="s">
        <v>11</v>
      </c>
      <c r="D233" s="1" t="s">
        <v>8</v>
      </c>
      <c r="E233" s="1" t="s">
        <v>12</v>
      </c>
      <c r="F233" s="1" t="s">
        <v>10</v>
      </c>
      <c r="G233" s="1">
        <v>2</v>
      </c>
    </row>
    <row r="234" spans="1:7" x14ac:dyDescent="0.25">
      <c r="A234" s="1">
        <v>10.77</v>
      </c>
      <c r="B234" s="1">
        <v>1.47</v>
      </c>
      <c r="C234" s="1" t="s">
        <v>11</v>
      </c>
      <c r="D234" s="1" t="s">
        <v>8</v>
      </c>
      <c r="E234" s="1" t="s">
        <v>12</v>
      </c>
      <c r="F234" s="1" t="s">
        <v>10</v>
      </c>
      <c r="G234" s="1">
        <v>2</v>
      </c>
    </row>
    <row r="235" spans="1:7" x14ac:dyDescent="0.25">
      <c r="A235" s="1">
        <v>15.53</v>
      </c>
      <c r="B235" s="1">
        <v>3</v>
      </c>
      <c r="C235" s="1" t="s">
        <v>11</v>
      </c>
      <c r="D235" s="1" t="s">
        <v>13</v>
      </c>
      <c r="E235" s="1" t="s">
        <v>12</v>
      </c>
      <c r="F235" s="1" t="s">
        <v>10</v>
      </c>
      <c r="G235" s="1">
        <v>2</v>
      </c>
    </row>
    <row r="236" spans="1:7" x14ac:dyDescent="0.25">
      <c r="A236" s="1">
        <v>10.07</v>
      </c>
      <c r="B236" s="1">
        <v>1.25</v>
      </c>
      <c r="C236" s="1" t="s">
        <v>11</v>
      </c>
      <c r="D236" s="1" t="s">
        <v>8</v>
      </c>
      <c r="E236" s="1" t="s">
        <v>12</v>
      </c>
      <c r="F236" s="1" t="s">
        <v>10</v>
      </c>
      <c r="G236" s="1">
        <v>2</v>
      </c>
    </row>
    <row r="237" spans="1:7" x14ac:dyDescent="0.25">
      <c r="A237" s="1">
        <v>12.6</v>
      </c>
      <c r="B237" s="1">
        <v>1</v>
      </c>
      <c r="C237" s="1" t="s">
        <v>11</v>
      </c>
      <c r="D237" s="1" t="s">
        <v>13</v>
      </c>
      <c r="E237" s="1" t="s">
        <v>12</v>
      </c>
      <c r="F237" s="1" t="s">
        <v>10</v>
      </c>
      <c r="G237" s="1">
        <v>2</v>
      </c>
    </row>
    <row r="238" spans="1:7" x14ac:dyDescent="0.25">
      <c r="A238" s="1">
        <v>32.83</v>
      </c>
      <c r="B238" s="1">
        <v>1.17</v>
      </c>
      <c r="C238" s="1" t="s">
        <v>11</v>
      </c>
      <c r="D238" s="1" t="s">
        <v>13</v>
      </c>
      <c r="E238" s="1" t="s">
        <v>12</v>
      </c>
      <c r="F238" s="1" t="s">
        <v>10</v>
      </c>
      <c r="G238" s="1">
        <v>2</v>
      </c>
    </row>
    <row r="239" spans="1:7" x14ac:dyDescent="0.25">
      <c r="A239" s="1">
        <v>35.83</v>
      </c>
      <c r="B239" s="1">
        <v>4.67</v>
      </c>
      <c r="C239" s="1" t="s">
        <v>7</v>
      </c>
      <c r="D239" s="1" t="s">
        <v>8</v>
      </c>
      <c r="E239" s="1" t="s">
        <v>12</v>
      </c>
      <c r="F239" s="1" t="s">
        <v>10</v>
      </c>
      <c r="G239" s="1">
        <v>3</v>
      </c>
    </row>
    <row r="240" spans="1:7" x14ac:dyDescent="0.25">
      <c r="A240" s="1">
        <v>29.03</v>
      </c>
      <c r="B240" s="1">
        <v>5.92</v>
      </c>
      <c r="C240" s="1" t="s">
        <v>11</v>
      </c>
      <c r="D240" s="1" t="s">
        <v>8</v>
      </c>
      <c r="E240" s="1" t="s">
        <v>12</v>
      </c>
      <c r="F240" s="1" t="s">
        <v>10</v>
      </c>
      <c r="G240" s="1">
        <v>3</v>
      </c>
    </row>
    <row r="241" spans="1:7" x14ac:dyDescent="0.25">
      <c r="A241" s="1">
        <v>27.18</v>
      </c>
      <c r="B241" s="1">
        <v>2</v>
      </c>
      <c r="C241" s="1" t="s">
        <v>7</v>
      </c>
      <c r="D241" s="1" t="s">
        <v>13</v>
      </c>
      <c r="E241" s="1" t="s">
        <v>12</v>
      </c>
      <c r="F241" s="1" t="s">
        <v>10</v>
      </c>
      <c r="G241" s="1">
        <v>2</v>
      </c>
    </row>
    <row r="242" spans="1:7" x14ac:dyDescent="0.25">
      <c r="A242" s="1">
        <v>22.67</v>
      </c>
      <c r="B242" s="1">
        <v>2</v>
      </c>
      <c r="C242" s="1" t="s">
        <v>11</v>
      </c>
      <c r="D242" s="1" t="s">
        <v>13</v>
      </c>
      <c r="E242" s="1" t="s">
        <v>12</v>
      </c>
      <c r="F242" s="1" t="s">
        <v>10</v>
      </c>
      <c r="G242" s="1">
        <v>2</v>
      </c>
    </row>
    <row r="243" spans="1:7" x14ac:dyDescent="0.25">
      <c r="A243" s="1">
        <v>17.82</v>
      </c>
      <c r="B243" s="1">
        <v>1.75</v>
      </c>
      <c r="C243" s="1" t="s">
        <v>11</v>
      </c>
      <c r="D243" s="1" t="s">
        <v>8</v>
      </c>
      <c r="E243" s="1" t="s">
        <v>12</v>
      </c>
      <c r="F243" s="1" t="s">
        <v>10</v>
      </c>
      <c r="G243" s="1">
        <v>2</v>
      </c>
    </row>
    <row r="244" spans="1:7" x14ac:dyDescent="0.25">
      <c r="A244" s="1">
        <v>18.78</v>
      </c>
      <c r="B244" s="1">
        <v>3</v>
      </c>
      <c r="C244" s="1" t="s">
        <v>7</v>
      </c>
      <c r="D244" s="1" t="s">
        <v>8</v>
      </c>
      <c r="E244" s="1" t="s">
        <v>14</v>
      </c>
      <c r="F244" s="1" t="s">
        <v>10</v>
      </c>
      <c r="G244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tips.csv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Aya Ahmed</cp:lastModifiedBy>
  <dcterms:modified xsi:type="dcterms:W3CDTF">2026-09-16T21:52:14Z</dcterms:modified>
</cp:coreProperties>
</file>